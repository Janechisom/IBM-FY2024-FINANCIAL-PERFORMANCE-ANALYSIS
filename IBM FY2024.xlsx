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bb48a199a92beb0/"/>
    </mc:Choice>
  </mc:AlternateContent>
  <xr:revisionPtr revIDLastSave="0" documentId="8_{57DC02E7-A2A2-439C-8827-E6F3DE5A8B2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Analysis" sheetId="5" r:id="rId1"/>
    <sheet name="DASHBOARD" sheetId="6" r:id="rId2"/>
    <sheet name="--Quarterly_PL" sheetId="1" r:id="rId3"/>
    <sheet name="Segment_Revenue" sheetId="2" r:id="rId4"/>
    <sheet name="KPI_Summary" sheetId="3" r:id="rId5"/>
    <sheet name="READM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5" l="1"/>
  <c r="C48" i="5"/>
  <c r="D54" i="5"/>
  <c r="D55" i="5"/>
  <c r="E54" i="5"/>
  <c r="E55" i="5"/>
  <c r="C55" i="5"/>
  <c r="B55" i="5"/>
  <c r="C54" i="5"/>
  <c r="B54" i="5"/>
  <c r="B14" i="5"/>
  <c r="B10" i="5"/>
  <c r="B11" i="5"/>
  <c r="B12" i="5"/>
  <c r="B13" i="5"/>
  <c r="B22" i="5"/>
  <c r="D22" i="5"/>
  <c r="B30" i="5"/>
  <c r="B31" i="5"/>
  <c r="I24" i="5"/>
  <c r="I19" i="5"/>
  <c r="C30" i="5"/>
  <c r="C31" i="5"/>
  <c r="D30" i="5"/>
  <c r="D31" i="5"/>
  <c r="E30" i="5"/>
  <c r="E31" i="5"/>
  <c r="F30" i="5"/>
  <c r="H30" i="5" s="1"/>
  <c r="F31" i="5"/>
  <c r="G30" i="5"/>
  <c r="G31" i="5"/>
  <c r="I18" i="5"/>
  <c r="J19" i="1"/>
  <c r="B18" i="5"/>
  <c r="B19" i="5"/>
  <c r="C18" i="5"/>
  <c r="C19" i="5"/>
  <c r="D18" i="5"/>
  <c r="D19" i="5"/>
  <c r="E18" i="5"/>
  <c r="E19" i="5"/>
  <c r="F18" i="5"/>
  <c r="F19" i="5"/>
  <c r="H19" i="5" s="1"/>
  <c r="G18" i="5"/>
  <c r="G19" i="5"/>
  <c r="I9" i="1"/>
  <c r="J9" i="1"/>
  <c r="I6" i="5" s="1"/>
  <c r="C44" i="5"/>
  <c r="D44" i="5"/>
  <c r="E44" i="5"/>
  <c r="F44" i="5"/>
  <c r="G44" i="5"/>
  <c r="H44" i="5"/>
  <c r="I44" i="5"/>
  <c r="B44" i="5"/>
  <c r="C40" i="5"/>
  <c r="D40" i="5"/>
  <c r="E40" i="5"/>
  <c r="F40" i="5"/>
  <c r="G40" i="5"/>
  <c r="B40" i="5"/>
  <c r="C35" i="5"/>
  <c r="D35" i="5"/>
  <c r="E35" i="5"/>
  <c r="F35" i="5"/>
  <c r="G35" i="5"/>
  <c r="I35" i="5"/>
  <c r="C36" i="5"/>
  <c r="D36" i="5"/>
  <c r="E36" i="5"/>
  <c r="F36" i="5"/>
  <c r="G36" i="5"/>
  <c r="I36" i="5"/>
  <c r="B35" i="5"/>
  <c r="B36" i="5"/>
  <c r="I30" i="5"/>
  <c r="I31" i="5"/>
  <c r="C22" i="5"/>
  <c r="E22" i="5"/>
  <c r="F22" i="5"/>
  <c r="G22" i="5"/>
  <c r="H22" i="5"/>
  <c r="I22" i="5"/>
  <c r="C23" i="5"/>
  <c r="D23" i="5"/>
  <c r="E23" i="5"/>
  <c r="F23" i="5"/>
  <c r="G23" i="5"/>
  <c r="H23" i="5"/>
  <c r="I23" i="5"/>
  <c r="C24" i="5"/>
  <c r="D24" i="5"/>
  <c r="E24" i="5"/>
  <c r="F24" i="5"/>
  <c r="G24" i="5"/>
  <c r="H24" i="5"/>
  <c r="C25" i="5"/>
  <c r="D25" i="5"/>
  <c r="E25" i="5"/>
  <c r="F25" i="5"/>
  <c r="G25" i="5"/>
  <c r="H25" i="5"/>
  <c r="I25" i="5"/>
  <c r="C26" i="5"/>
  <c r="D26" i="5"/>
  <c r="E26" i="5"/>
  <c r="F26" i="5"/>
  <c r="G26" i="5"/>
  <c r="H26" i="5"/>
  <c r="I26" i="5"/>
  <c r="B26" i="5"/>
  <c r="B25" i="5"/>
  <c r="B24" i="5"/>
  <c r="B23" i="5"/>
  <c r="C10" i="5"/>
  <c r="D10" i="5"/>
  <c r="E10" i="5"/>
  <c r="F10" i="5"/>
  <c r="G10" i="5"/>
  <c r="H10" i="5"/>
  <c r="I10" i="5"/>
  <c r="C11" i="5"/>
  <c r="D11" i="5"/>
  <c r="E11" i="5"/>
  <c r="F11" i="5"/>
  <c r="G11" i="5"/>
  <c r="H11" i="5"/>
  <c r="I11" i="5"/>
  <c r="C12" i="5"/>
  <c r="D12" i="5"/>
  <c r="E12" i="5"/>
  <c r="F12" i="5"/>
  <c r="G12" i="5"/>
  <c r="H12" i="5"/>
  <c r="I12" i="5"/>
  <c r="C13" i="5"/>
  <c r="D13" i="5"/>
  <c r="E13" i="5"/>
  <c r="F13" i="5"/>
  <c r="G13" i="5"/>
  <c r="H13" i="5"/>
  <c r="I13" i="5"/>
  <c r="C14" i="5"/>
  <c r="C49" i="5" s="1"/>
  <c r="D14" i="5"/>
  <c r="C50" i="5" s="1"/>
  <c r="E14" i="5"/>
  <c r="C51" i="5" s="1"/>
  <c r="F14" i="5"/>
  <c r="G14" i="5"/>
  <c r="H14" i="5"/>
  <c r="I14" i="5"/>
  <c r="J7" i="1"/>
  <c r="I4" i="5" s="1"/>
  <c r="I7" i="1"/>
  <c r="I3" i="5"/>
  <c r="I2" i="5"/>
  <c r="H4" i="5"/>
  <c r="H3" i="5"/>
  <c r="H2" i="5"/>
  <c r="G5" i="5"/>
  <c r="G4" i="5"/>
  <c r="G3" i="5"/>
  <c r="G2" i="5"/>
  <c r="F5" i="5"/>
  <c r="F4" i="5"/>
  <c r="F3" i="5"/>
  <c r="F2" i="5"/>
  <c r="E5" i="5"/>
  <c r="E4" i="5"/>
  <c r="E3" i="5"/>
  <c r="E2" i="5"/>
  <c r="D5" i="5"/>
  <c r="D4" i="5"/>
  <c r="D3" i="5"/>
  <c r="D2" i="5"/>
  <c r="C5" i="5"/>
  <c r="C4" i="5"/>
  <c r="C3" i="5"/>
  <c r="C2" i="5"/>
  <c r="B5" i="5"/>
  <c r="B4" i="5"/>
  <c r="B3" i="5"/>
  <c r="B2" i="5"/>
  <c r="J3" i="5" l="1"/>
  <c r="H35" i="5"/>
  <c r="H36" i="5"/>
  <c r="H40" i="5"/>
  <c r="I40" i="5" s="1"/>
  <c r="H18" i="5"/>
  <c r="H31" i="5"/>
  <c r="D6" i="5"/>
  <c r="B50" i="5" s="1"/>
  <c r="G6" i="5"/>
  <c r="B6" i="5"/>
  <c r="B48" i="5" s="1"/>
  <c r="C6" i="5"/>
  <c r="B49" i="5" s="1"/>
  <c r="E6" i="5"/>
  <c r="B51" i="5" s="1"/>
  <c r="F6" i="5"/>
  <c r="J4" i="5" l="1"/>
  <c r="J6" i="5" s="1"/>
  <c r="J5" i="5"/>
  <c r="J14" i="2" l="1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37" i="1"/>
  <c r="I37" i="1"/>
  <c r="J34" i="1"/>
  <c r="I34" i="1"/>
  <c r="J33" i="1"/>
  <c r="I33" i="1"/>
  <c r="J32" i="1"/>
  <c r="I32" i="1"/>
  <c r="J30" i="1"/>
  <c r="I30" i="1"/>
  <c r="J27" i="1"/>
  <c r="I27" i="1"/>
  <c r="J26" i="1"/>
  <c r="I26" i="1"/>
  <c r="J25" i="1"/>
  <c r="I25" i="1"/>
  <c r="J24" i="1"/>
  <c r="I24" i="1"/>
  <c r="J23" i="1"/>
  <c r="I23" i="1"/>
  <c r="I19" i="1"/>
  <c r="J16" i="1"/>
  <c r="I16" i="1"/>
  <c r="J15" i="1"/>
  <c r="I15" i="1"/>
  <c r="J14" i="1"/>
  <c r="I14" i="1"/>
  <c r="J13" i="1"/>
  <c r="I13" i="1"/>
  <c r="J12" i="1"/>
  <c r="I12" i="1"/>
  <c r="J8" i="1"/>
  <c r="I5" i="5" s="1"/>
  <c r="I8" i="1"/>
  <c r="H5" i="5" s="1"/>
  <c r="H6" i="5" s="1"/>
  <c r="J6" i="1"/>
  <c r="I6" i="1"/>
  <c r="J5" i="1"/>
  <c r="I5" i="1"/>
</calcChain>
</file>

<file path=xl/sharedStrings.xml><?xml version="1.0" encoding="utf-8"?>
<sst xmlns="http://schemas.openxmlformats.org/spreadsheetml/2006/main" count="413" uniqueCount="251">
  <si>
    <t>IBM Corporation — Quarterly P&amp;L Summary | FY 2024 vs FY 2023  (USD $M)</t>
  </si>
  <si>
    <t>Source: IBM 2024 Annual Report (SEC 10-K Exhibit 13, filed Feb 25 2025) &amp; IBM Quarterly Earnings Releases</t>
  </si>
  <si>
    <t>P&amp;L Line Item</t>
  </si>
  <si>
    <t>Category</t>
  </si>
  <si>
    <t>Q1 2024</t>
  </si>
  <si>
    <t>Q2 2024</t>
  </si>
  <si>
    <t>Q3 2024</t>
  </si>
  <si>
    <t>Q4 2024</t>
  </si>
  <si>
    <t>FY 2024</t>
  </si>
  <si>
    <t>FY 2023</t>
  </si>
  <si>
    <t>YoY $M</t>
  </si>
  <si>
    <t>YoY %</t>
  </si>
  <si>
    <t>Notes</t>
  </si>
  <si>
    <t>── REVENUE ──</t>
  </si>
  <si>
    <t>Software Revenue</t>
  </si>
  <si>
    <t>Revenue</t>
  </si>
  <si>
    <t>Red Hat up 14% in Q3; highest AI growth</t>
  </si>
  <si>
    <t>Consulting Revenue</t>
  </si>
  <si>
    <t>Slight decline; macro headwinds</t>
  </si>
  <si>
    <t>Infrastructure Revenue</t>
  </si>
  <si>
    <t>z16 mainframe late in product cycle</t>
  </si>
  <si>
    <t>Financing &amp; Other</t>
  </si>
  <si>
    <t>Includes IBM client financing + eliminations</t>
  </si>
  <si>
    <t>TOTAL REVENUE</t>
  </si>
  <si>
    <t>FY24 +1.4% GAAP; +3.0% constant currency</t>
  </si>
  <si>
    <t>── COST OF REVENUE ──</t>
  </si>
  <si>
    <t>Cost of Software</t>
  </si>
  <si>
    <t>COGS</t>
  </si>
  <si>
    <t>Software ~83% gross margin (Q3)</t>
  </si>
  <si>
    <t>Cost of Consulting</t>
  </si>
  <si>
    <t>Consulting gross margin ~27%</t>
  </si>
  <si>
    <t>Cost of Infrastructure</t>
  </si>
  <si>
    <t>Infrastructure gross margin ~51%</t>
  </si>
  <si>
    <t>Cost of Financing &amp; Other</t>
  </si>
  <si>
    <t>TOTAL COGS</t>
  </si>
  <si>
    <t>FY24 COGS -2.0% YoY — cost discipline</t>
  </si>
  <si>
    <t>── GROSS PROFIT ──</t>
  </si>
  <si>
    <t>Gross Profit</t>
  </si>
  <si>
    <t>GP growing faster than revenue</t>
  </si>
  <si>
    <t>Gross Profit Margin %</t>
  </si>
  <si>
    <t>54.4%</t>
  </si>
  <si>
    <t>58.1%</t>
  </si>
  <si>
    <t>55.7%</t>
  </si>
  <si>
    <t>57.2%</t>
  </si>
  <si>
    <t>FY24 +1.5 pts — favorable mix shift to Software</t>
  </si>
  <si>
    <t>── OPERATING EXPENSES ──</t>
  </si>
  <si>
    <t>R&amp;D Expense</t>
  </si>
  <si>
    <t>OpEx</t>
  </si>
  <si>
    <t>AI &amp; hybrid cloud investment continuing</t>
  </si>
  <si>
    <t>SG&amp;A Expense</t>
  </si>
  <si>
    <t>Includes restructuring &amp; HashiCorp integration</t>
  </si>
  <si>
    <t>Pension Settlement Charge</t>
  </si>
  <si>
    <t>Non-cash; Q3 charge via Prudential annuity transfer</t>
  </si>
  <si>
    <t>Other (Income)/Expense</t>
  </si>
  <si>
    <t>Net of interest income &amp; other items</t>
  </si>
  <si>
    <t>TOTAL OPERATING EXPENSES</t>
  </si>
  <si>
    <t>Elevated by non-cash $3.1B pension charge</t>
  </si>
  <si>
    <t>── PROFIT METRICS ──</t>
  </si>
  <si>
    <t>EBIT (Operating Income)</t>
  </si>
  <si>
    <t>Profit</t>
  </si>
  <si>
    <t>Strong underlying ops; Q3 distorted by pension</t>
  </si>
  <si>
    <t>EBIT Margin %</t>
  </si>
  <si>
    <t>13.2%</t>
  </si>
  <si>
    <t>21.1%</t>
  </si>
  <si>
    <t>-3.4%</t>
  </si>
  <si>
    <t>25.7%</t>
  </si>
  <si>
    <t>16.0%</t>
  </si>
  <si>
    <t>14.3%</t>
  </si>
  <si>
    <t>Adjusted EBIT margin healthy at ~20%+</t>
  </si>
  <si>
    <t>Income Before Tax</t>
  </si>
  <si>
    <t>FY24 down 33% — pension charge impact</t>
  </si>
  <si>
    <t>Income Tax (Benefit)/Expense</t>
  </si>
  <si>
    <t>Tax benefit in FY24 vs expense in FY23</t>
  </si>
  <si>
    <t>NET INCOME</t>
  </si>
  <si>
    <t>Down 19.7% YoY — all due to pension charge</t>
  </si>
  <si>
    <t>Net Income Margin %</t>
  </si>
  <si>
    <t>6.1%</t>
  </si>
  <si>
    <t>16.4%</t>
  </si>
  <si>
    <t>-2.1%</t>
  </si>
  <si>
    <t>16.3%</t>
  </si>
  <si>
    <t>9.6%</t>
  </si>
  <si>
    <t>12.1%</t>
  </si>
  <si>
    <t>Strip pension: operational margin much stronger</t>
  </si>
  <si>
    <t>Operating Non-GAAP EPS</t>
  </si>
  <si>
    <t>$2.31</t>
  </si>
  <si>
    <t>$2.43</t>
  </si>
  <si>
    <t>$2.30</t>
  </si>
  <si>
    <t>$3.29</t>
  </si>
  <si>
    <t>$10.33</t>
  </si>
  <si>
    <t>$9.62</t>
  </si>
  <si>
    <t>Up 7.4% YoY — cleanest profit metric</t>
  </si>
  <si>
    <t>Free Cash Flow</t>
  </si>
  <si>
    <t>Exceeded $12B FY guidance; strong cash gen</t>
  </si>
  <si>
    <t>IBM — Segment Revenue Deep-Dive | FY 2024 (USD $M)</t>
  </si>
  <si>
    <t>Segment</t>
  </si>
  <si>
    <t>Sub-Segment</t>
  </si>
  <si>
    <t>SOFTWARE</t>
  </si>
  <si>
    <t>Hybrid Platform &amp; Solutions</t>
  </si>
  <si>
    <t>Transaction Processing</t>
  </si>
  <si>
    <t>TOTAL SOFTWARE</t>
  </si>
  <si>
    <t>CONSULTING</t>
  </si>
  <si>
    <t>Business Transformation</t>
  </si>
  <si>
    <t>Technology Consulting</t>
  </si>
  <si>
    <t>Application Operations</t>
  </si>
  <si>
    <t>TOTAL CONSULTING</t>
  </si>
  <si>
    <t>INFRASTRUCTURE</t>
  </si>
  <si>
    <t>Hybrid Infrastructure</t>
  </si>
  <si>
    <t>Infrastructure Support</t>
  </si>
  <si>
    <t>TOTAL INFRASTRUCTURE</t>
  </si>
  <si>
    <t>FINANCING</t>
  </si>
  <si>
    <t>IBM Financing &amp; Other</t>
  </si>
  <si>
    <t>TOTAL IBM</t>
  </si>
  <si>
    <t>All Segments</t>
  </si>
  <si>
    <t>IBM FY 2024 — Key Performance Indicators at a Glance</t>
  </si>
  <si>
    <t>KPI</t>
  </si>
  <si>
    <t>FY 2024 Value</t>
  </si>
  <si>
    <t>vs FY 2023</t>
  </si>
  <si>
    <t>Signal</t>
  </si>
  <si>
    <t>Analyst Commentary</t>
  </si>
  <si>
    <t>Total Revenue</t>
  </si>
  <si>
    <t>$62,753M</t>
  </si>
  <si>
    <t>+1.4% YoY</t>
  </si>
  <si>
    <t>▲</t>
  </si>
  <si>
    <t>Revenue growth modest; +3% at constant currency — in line with IBM mid-single-digit model</t>
  </si>
  <si>
    <t>$35,903M</t>
  </si>
  <si>
    <t>+4.2% YoY</t>
  </si>
  <si>
    <t>Gross profit growing faster than revenue — margin expansion story</t>
  </si>
  <si>
    <t>Gross Profit Margin</t>
  </si>
  <si>
    <t>+1.5 pts YoY</t>
  </si>
  <si>
    <t>Favorable mix shift: high-margin Software now biggest segment</t>
  </si>
  <si>
    <t>$26,278M</t>
  </si>
  <si>
    <t>+7.5% YoY</t>
  </si>
  <si>
    <t>IBM's star segment — Red Hat up 14% in Q3; AI/hybrid cloud driving growth</t>
  </si>
  <si>
    <t>$20,900M</t>
  </si>
  <si>
    <t>-0.8% YoY</t>
  </si>
  <si>
    <t>▼</t>
  </si>
  <si>
    <t>Macro headwinds; client discretionary spending cautious in 2024</t>
  </si>
  <si>
    <t>$13,795M</t>
  </si>
  <si>
    <t>-3.0% YoY</t>
  </si>
  <si>
    <t>z16 mainframe late in product cycle — z17 refresh expected 2025</t>
  </si>
  <si>
    <t>Software Gross Margin</t>
  </si>
  <si>
    <t>~83%</t>
  </si>
  <si>
    <t>Highest segment</t>
  </si>
  <si>
    <t>Best-in-class margin; Red Hat and transaction processing highly profitable</t>
  </si>
  <si>
    <t>Consulting Gross Margin</t>
  </si>
  <si>
    <t>~27%</t>
  </si>
  <si>
    <t>Competitive pressure</t>
  </si>
  <si>
    <t>◆</t>
  </si>
  <si>
    <t>Labor-intensive; improvement needed to drive overall margin expansion</t>
  </si>
  <si>
    <t>Infrastructure Gross Margin</t>
  </si>
  <si>
    <t>~51%</t>
  </si>
  <si>
    <t>Stable</t>
  </si>
  <si>
    <t>Hardware/software mix drives margin; stable despite revenue decline</t>
  </si>
  <si>
    <t>Total COGS</t>
  </si>
  <si>
    <t>$26,850M</t>
  </si>
  <si>
    <t>-2.0% YoY</t>
  </si>
  <si>
    <t>Cost discipline improving — COGS falling while revenue rises</t>
  </si>
  <si>
    <t>$6,807M</t>
  </si>
  <si>
    <t>+2.5% YoY</t>
  </si>
  <si>
    <t>Investment in watsonx AI and hybrid cloud platform continuing</t>
  </si>
  <si>
    <t>$10,049M</t>
  </si>
  <si>
    <t>+13.5% YoY</t>
  </si>
  <si>
    <t>Strong underlying ops; Q3 pension charge distorts GAAP view</t>
  </si>
  <si>
    <t>EBIT Margin</t>
  </si>
  <si>
    <t>+1.7 pts YoY</t>
  </si>
  <si>
    <t>Margin expansion reflects Software growth and cost discipline</t>
  </si>
  <si>
    <t>Net Income (GAAP)</t>
  </si>
  <si>
    <t>$6,023M</t>
  </si>
  <si>
    <t>-19.7% YoY</t>
  </si>
  <si>
    <t>Decline entirely due to $3.1B non-cash pension settlement — not operational</t>
  </si>
  <si>
    <t>Net Income Margin</t>
  </si>
  <si>
    <t>-2.5 pts YoY</t>
  </si>
  <si>
    <t>Operational margin stronger than GAAP shows; strip pension for true picture</t>
  </si>
  <si>
    <t>+7.4% YoY</t>
  </si>
  <si>
    <t>Cleanest EPS metric — excludes non-cash pension &amp; acquisition charges</t>
  </si>
  <si>
    <t>GAAP EPS (Diluted)</t>
  </si>
  <si>
    <t>$6.43</t>
  </si>
  <si>
    <t>-21.0% YoY</t>
  </si>
  <si>
    <t>Distorted by pension; not representative of operational performance</t>
  </si>
  <si>
    <t>$12,490M</t>
  </si>
  <si>
    <t>Exceeded $12B target</t>
  </si>
  <si>
    <t>IBM's most important cash metric — strong and above own guidance</t>
  </si>
  <si>
    <t>Total Assets</t>
  </si>
  <si>
    <t>$137,175M</t>
  </si>
  <si>
    <t>Asset base growing modestly — disciplined capital allocation</t>
  </si>
  <si>
    <t>Total Liabilities</t>
  </si>
  <si>
    <t>$109,783M</t>
  </si>
  <si>
    <t>-2.5% YoY</t>
  </si>
  <si>
    <t>Liability reduction = balance sheet strengthening</t>
  </si>
  <si>
    <t>Shareholders Equity</t>
  </si>
  <si>
    <t>$27,393M</t>
  </si>
  <si>
    <t>+21.1% YoY</t>
  </si>
  <si>
    <t>Sharp equity increase — pension improvement + retained earnings</t>
  </si>
  <si>
    <t>AI Book of Business (cumulative)</t>
  </si>
  <si>
    <t>$5B+</t>
  </si>
  <si>
    <t>Strong momentum</t>
  </si>
  <si>
    <t>watsonx generative AI signings accelerating; key future growth driver</t>
  </si>
  <si>
    <t>$3,100M</t>
  </si>
  <si>
    <t>Non-recurring 2024</t>
  </si>
  <si>
    <t>Non-cash, non-operating; irrevocable transfer to Prudential — no future cash impact</t>
  </si>
  <si>
    <t>HashiCorp Acquisition</t>
  </si>
  <si>
    <t>$6,400M enterprise value</t>
  </si>
  <si>
    <t>Closed 2024</t>
  </si>
  <si>
    <t>Strengthens hybrid cloud platform; accretive to EBITDA within year 1</t>
  </si>
  <si>
    <t>IBM Corporation — FY 2024 Financial Dataset</t>
  </si>
  <si>
    <t>Portfolio Project  |  Jane Chisom Raymond  |  Financial BI Analytics &amp; Accounting</t>
  </si>
  <si>
    <t>PRIMARY SOURCE:</t>
  </si>
  <si>
    <t>IBM 2024 Annual Report — SEC 10-K Exhibit 13, filed February 25, 2025</t>
  </si>
  <si>
    <t>URL:</t>
  </si>
  <si>
    <t>sec.gov/Archives/edgar/data/51143/000005114325000015/ibm-20241231_d2.htm</t>
  </si>
  <si>
    <t>QUARTERLY DATA:</t>
  </si>
  <si>
    <t>IBM Q1-Q4 2024 Earnings Press Releases (newsroom.ibm.com)</t>
  </si>
  <si>
    <t>SHEETS:</t>
  </si>
  <si>
    <t xml:space="preserve">  Quarterly_PL</t>
  </si>
  <si>
    <t>Full P&amp;L: Revenue, COGS, Gross Profit, OpEx, EBIT, Net Income — quarterly + full year</t>
  </si>
  <si>
    <t xml:space="preserve">  Segment_Revenue</t>
  </si>
  <si>
    <t>Software / Consulting / Infrastructure / Financing — quarterly breakdown</t>
  </si>
  <si>
    <t xml:space="preserve">  KPI_Summary</t>
  </si>
  <si>
    <t>24 KPIs with analyst signals and commentary</t>
  </si>
  <si>
    <t>CURRENCY:</t>
  </si>
  <si>
    <t>All figures USD Millions ($M) unless stated</t>
  </si>
  <si>
    <t>FISCAL YEAR:</t>
  </si>
  <si>
    <t>January 1 — December 31, 2024</t>
  </si>
  <si>
    <t>KEY STORY:</t>
  </si>
  <si>
    <t>Software growing fast (83% margin). Consulting flat. Net income down only due to $3.1B non-cash pension charge.</t>
  </si>
  <si>
    <t>BEST METRIC:</t>
  </si>
  <si>
    <t>Use Operating Non-GAAP EPS ($10.33, +7.4%) for true operational performance view.</t>
  </si>
  <si>
    <t xml:space="preserve"> </t>
  </si>
  <si>
    <t>REVENUE</t>
  </si>
  <si>
    <t>Q1</t>
  </si>
  <si>
    <t>Q2</t>
  </si>
  <si>
    <t>Q3</t>
  </si>
  <si>
    <t>Q4</t>
  </si>
  <si>
    <t xml:space="preserve">Software </t>
  </si>
  <si>
    <t xml:space="preserve">Consulting </t>
  </si>
  <si>
    <t xml:space="preserve">Infrastructure </t>
  </si>
  <si>
    <t>GROSS PROFIT</t>
  </si>
  <si>
    <t>Gross profit</t>
  </si>
  <si>
    <t>Gross profit margin</t>
  </si>
  <si>
    <t>OPERATING EXPENSES</t>
  </si>
  <si>
    <t xml:space="preserve"> COST OF REVENUE </t>
  </si>
  <si>
    <t>EBIT</t>
  </si>
  <si>
    <t>NON-GAAP EPS</t>
  </si>
  <si>
    <t>CASH FLOW</t>
  </si>
  <si>
    <t xml:space="preserve">QUARTER </t>
  </si>
  <si>
    <t>EXPENSES</t>
  </si>
  <si>
    <t>REVENUE VS EXPENSE</t>
  </si>
  <si>
    <r>
      <t>SEGMENT CONTRIBUTION</t>
    </r>
    <r>
      <rPr>
        <b/>
        <strike/>
        <sz val="11"/>
        <color theme="0"/>
        <rFont val="Calibri"/>
        <family val="2"/>
        <charset val="1"/>
      </rPr>
      <t>%</t>
    </r>
  </si>
  <si>
    <t>NET INCOME VS OPERATING INCOME</t>
  </si>
  <si>
    <t>Operating Income</t>
  </si>
  <si>
    <t xml:space="preserve">Net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</si>
</sst>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0.0%"/>
    <numFmt numFmtId="167" formatCode="#,##0&quot;M&quot;"/>
    <numFmt numFmtId="168" formatCode="&quot;$&quot;#,##0&quot;M&quot;"/>
  </numFmts>
  <fonts count="2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FFFFFF"/>
      <name val="Arial"/>
      <family val="2"/>
    </font>
    <font>
      <i/>
      <sz val="8"/>
      <color rgb="FF1B6CA8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i/>
      <sz val="8"/>
      <color rgb="FF555555"/>
      <name val="Arial"/>
      <family val="2"/>
    </font>
    <font>
      <b/>
      <sz val="9"/>
      <color rgb="FF0D1B2A"/>
      <name val="Arial"/>
      <family val="2"/>
    </font>
    <font>
      <b/>
      <sz val="9"/>
      <color rgb="FF000000"/>
      <name val="Arial"/>
      <family val="2"/>
    </font>
    <font>
      <b/>
      <sz val="9"/>
      <color rgb="FFC0392B"/>
      <name val="Arial"/>
      <family val="2"/>
    </font>
    <font>
      <sz val="9"/>
      <color rgb="FFC0392B"/>
      <name val="Arial"/>
      <family val="2"/>
    </font>
    <font>
      <b/>
      <sz val="11"/>
      <color rgb="FFFFFFFF"/>
      <name val="Arial"/>
      <family val="2"/>
    </font>
    <font>
      <b/>
      <sz val="9"/>
      <color rgb="FF1E8449"/>
      <name val="Arial"/>
      <family val="2"/>
    </font>
    <font>
      <b/>
      <sz val="11"/>
      <color rgb="FF1E8449"/>
      <name val="Arial"/>
      <family val="2"/>
    </font>
    <font>
      <i/>
      <sz val="9"/>
      <color rgb="FF333333"/>
      <name val="Arial"/>
      <family val="2"/>
    </font>
    <font>
      <b/>
      <sz val="11"/>
      <color rgb="FFC0392B"/>
      <name val="Arial"/>
      <family val="2"/>
    </font>
    <font>
      <b/>
      <sz val="9"/>
      <color rgb="FF1B6CA8"/>
      <name val="Arial"/>
      <family val="2"/>
    </font>
    <font>
      <b/>
      <sz val="11"/>
      <color rgb="FF1B6CA8"/>
      <name val="Arial"/>
      <family val="2"/>
    </font>
    <font>
      <b/>
      <sz val="14"/>
      <color rgb="FF0D1B2A"/>
      <name val="Arial"/>
      <family val="2"/>
    </font>
    <font>
      <i/>
      <sz val="10"/>
      <color rgb="FF1B6CA8"/>
      <name val="Arial"/>
      <family val="2"/>
    </font>
    <font>
      <sz val="9"/>
      <color rgb="FF0D1B2A"/>
      <name val="Arial"/>
      <family val="2"/>
    </font>
    <font>
      <b/>
      <sz val="11"/>
      <color theme="0"/>
      <name val="Calibri"/>
      <family val="2"/>
      <charset val="1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trike/>
      <sz val="11"/>
      <color theme="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8F4FD"/>
        <bgColor rgb="FFF5F5F5"/>
      </patternFill>
    </fill>
    <fill>
      <patternFill patternType="solid">
        <fgColor rgb="FF1B6CA8"/>
        <bgColor rgb="FF00808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4FD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7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0" fillId="5" borderId="0" xfId="0" applyFill="1"/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164" fontId="10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11" fillId="6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5" fillId="0" borderId="0" xfId="0" applyFont="1"/>
    <xf numFmtId="0" fontId="8" fillId="0" borderId="0" xfId="0" applyFont="1"/>
    <xf numFmtId="166" fontId="1" fillId="0" borderId="0" xfId="1" applyNumberFormat="1"/>
    <xf numFmtId="166" fontId="0" fillId="0" borderId="0" xfId="0" applyNumberFormat="1"/>
    <xf numFmtId="166" fontId="24" fillId="0" borderId="0" xfId="1" applyNumberFormat="1" applyFon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0" fontId="5" fillId="6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8" fillId="3" borderId="0" xfId="0" applyFont="1" applyFill="1" applyAlignment="1">
      <alignment horizontal="left" vertical="center"/>
    </xf>
    <xf numFmtId="0" fontId="22" fillId="7" borderId="0" xfId="0" applyFont="1" applyFill="1"/>
    <xf numFmtId="168" fontId="22" fillId="7" borderId="4" xfId="0" applyNumberFormat="1" applyFont="1" applyFill="1" applyBorder="1"/>
    <xf numFmtId="166" fontId="25" fillId="7" borderId="4" xfId="1" applyNumberFormat="1" applyFont="1" applyFill="1" applyBorder="1"/>
    <xf numFmtId="0" fontId="0" fillId="8" borderId="5" xfId="0" applyFill="1" applyBorder="1"/>
    <xf numFmtId="168" fontId="0" fillId="8" borderId="3" xfId="0" applyNumberFormat="1" applyFill="1" applyBorder="1"/>
    <xf numFmtId="166" fontId="23" fillId="8" borderId="3" xfId="1" applyNumberFormat="1" applyFont="1" applyFill="1" applyBorder="1"/>
    <xf numFmtId="0" fontId="0" fillId="9" borderId="6" xfId="0" applyFill="1" applyBorder="1"/>
    <xf numFmtId="168" fontId="0" fillId="9" borderId="2" xfId="0" applyNumberFormat="1" applyFill="1" applyBorder="1"/>
    <xf numFmtId="166" fontId="23" fillId="9" borderId="2" xfId="1" applyNumberFormat="1" applyFont="1" applyFill="1" applyBorder="1"/>
    <xf numFmtId="0" fontId="0" fillId="8" borderId="6" xfId="0" applyFill="1" applyBorder="1"/>
    <xf numFmtId="168" fontId="0" fillId="8" borderId="2" xfId="0" applyNumberFormat="1" applyFill="1" applyBorder="1"/>
    <xf numFmtId="166" fontId="23" fillId="8" borderId="2" xfId="1" applyNumberFormat="1" applyFont="1" applyFill="1" applyBorder="1"/>
    <xf numFmtId="9" fontId="22" fillId="7" borderId="4" xfId="0" applyNumberFormat="1" applyFont="1" applyFill="1" applyBorder="1"/>
    <xf numFmtId="9" fontId="0" fillId="8" borderId="3" xfId="0" applyNumberFormat="1" applyFill="1" applyBorder="1"/>
    <xf numFmtId="9" fontId="0" fillId="9" borderId="2" xfId="0" applyNumberFormat="1" applyFill="1" applyBorder="1"/>
    <xf numFmtId="9" fontId="0" fillId="8" borderId="2" xfId="0" applyNumberFormat="1" applyFill="1" applyBorder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57"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6" formatCode="0.0%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D1B2A"/>
        <name val="Arial"/>
        <charset val="1"/>
        <scheme val="none"/>
      </font>
      <fill>
        <patternFill patternType="solid">
          <fgColor rgb="FFF5F5F5"/>
          <bgColor rgb="FFE8F4FD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166" formatCode="0.0%"/>
    </dxf>
    <dxf>
      <numFmt numFmtId="4" formatCode="#,##0.00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6" formatCode="0.0%"/>
    </dxf>
    <dxf>
      <numFmt numFmtId="0" formatCode="General"/>
    </dxf>
    <dxf>
      <numFmt numFmtId="166" formatCode="0.0%"/>
    </dxf>
    <dxf>
      <numFmt numFmtId="166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$&quot;#,##0&quot;M&quot;"/>
    </dxf>
    <dxf>
      <numFmt numFmtId="166" formatCode="0.0%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4" formatCode="0.00%"/>
    </dxf>
    <dxf>
      <numFmt numFmtId="166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%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  <dxf>
      <numFmt numFmtId="168" formatCode="&quot;$&quot;#,##0&quot;M&quot;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F4FD"/>
      <rgbColor rgb="FF660066"/>
      <rgbColor rgb="FFFF8080"/>
      <rgbColor rgb="FF1B6C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C9A84C"/>
      <rgbColor rgb="FF003366"/>
      <rgbColor rgb="FF1E8449"/>
      <rgbColor rgb="FF0D1B2A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F5F5"/>
      <color rgb="FFFFFFCC"/>
      <color rgb="FFFA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bg1"/>
                </a:solidFill>
              </a:rPr>
              <a:t>REVENUE</a:t>
            </a:r>
            <a:r>
              <a:rPr lang="en-US" sz="1100" b="1" baseline="0">
                <a:solidFill>
                  <a:schemeClr val="bg1"/>
                </a:solidFill>
              </a:rPr>
              <a:t> BY QUATER</a:t>
            </a:r>
          </a:p>
          <a:p>
            <a:pPr algn="l">
              <a:defRPr/>
            </a:pPr>
            <a:r>
              <a:rPr lang="en-US" sz="1100" b="1" baseline="0">
                <a:solidFill>
                  <a:schemeClr val="bg1"/>
                </a:solidFill>
              </a:rPr>
              <a:t>Revenue  grows steadily with softwware leading </a:t>
            </a:r>
            <a:endParaRPr lang="en-US" sz="11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3048368953880621E-4"/>
          <c:y val="1.5160565364314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491938507686757E-5"/>
          <c:y val="0.18638157397872221"/>
          <c:w val="0.98734514435695542"/>
          <c:h val="0.62807880253956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Analysis!$A$2</c:f>
              <c:strCache>
                <c:ptCount val="1"/>
                <c:pt idx="0">
                  <c:v>Software 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Analysis!$B$2:$E$2</c:f>
              <c:numCache>
                <c:formatCode>"$"#,##0"M"</c:formatCode>
                <c:ptCount val="4"/>
                <c:pt idx="0">
                  <c:v>5902</c:v>
                </c:pt>
                <c:pt idx="1">
                  <c:v>6740</c:v>
                </c:pt>
                <c:pt idx="2">
                  <c:v>6520</c:v>
                </c:pt>
                <c:pt idx="3">
                  <c:v>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3-4268-98C5-2F5E98CF56BB}"/>
            </c:ext>
          </c:extLst>
        </c:ser>
        <c:ser>
          <c:idx val="1"/>
          <c:order val="1"/>
          <c:tx>
            <c:strRef>
              <c:f>Analysis!$A$3</c:f>
              <c:strCache>
                <c:ptCount val="1"/>
                <c:pt idx="0">
                  <c:v>Consulting 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Analysis!$B$3:$E$3</c:f>
              <c:numCache>
                <c:formatCode>"$"#,##0"M"</c:formatCode>
                <c:ptCount val="4"/>
                <c:pt idx="0">
                  <c:v>5214</c:v>
                </c:pt>
                <c:pt idx="1">
                  <c:v>5200</c:v>
                </c:pt>
                <c:pt idx="2">
                  <c:v>5150</c:v>
                </c:pt>
                <c:pt idx="3">
                  <c:v>5336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3-4268-98C5-2F5E98CF56BB}"/>
            </c:ext>
          </c:extLst>
        </c:ser>
        <c:ser>
          <c:idx val="2"/>
          <c:order val="2"/>
          <c:tx>
            <c:strRef>
              <c:f>Analysis!$A$4</c:f>
              <c:strCache>
                <c:ptCount val="1"/>
                <c:pt idx="0">
                  <c:v>Infrastructure 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Analysis!$B$4:$E$4</c:f>
              <c:numCache>
                <c:formatCode>"$"#,##0"M"</c:formatCode>
                <c:ptCount val="4"/>
                <c:pt idx="0">
                  <c:v>2955</c:v>
                </c:pt>
                <c:pt idx="1">
                  <c:v>3649</c:v>
                </c:pt>
                <c:pt idx="2">
                  <c:v>3043</c:v>
                </c:pt>
                <c:pt idx="3">
                  <c:v>4148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3-4268-98C5-2F5E98CF56BB}"/>
            </c:ext>
          </c:extLst>
        </c:ser>
        <c:ser>
          <c:idx val="3"/>
          <c:order val="3"/>
          <c:tx>
            <c:strRef>
              <c:f>Analysis!$A$5</c:f>
              <c:strCache>
                <c:ptCount val="1"/>
                <c:pt idx="0">
                  <c:v>Financing &amp; Other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Analysis!$B$5:$E$5</c:f>
              <c:numCache>
                <c:formatCode>"$"#,##0"M"</c:formatCode>
                <c:ptCount val="4"/>
                <c:pt idx="0">
                  <c:v>389</c:v>
                </c:pt>
                <c:pt idx="1">
                  <c:v>211</c:v>
                </c:pt>
                <c:pt idx="2">
                  <c:v>257</c:v>
                </c:pt>
                <c:pt idx="3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D3-4268-98C5-2F5E98CF56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1"/>
        <c:overlap val="-56"/>
        <c:axId val="713902543"/>
        <c:axId val="713924143"/>
      </c:barChart>
      <c:catAx>
        <c:axId val="7139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24143"/>
        <c:crosses val="autoZero"/>
        <c:auto val="1"/>
        <c:lblAlgn val="ctr"/>
        <c:lblOffset val="100"/>
        <c:noMultiLvlLbl val="0"/>
      </c:catAx>
      <c:valAx>
        <c:axId val="713924143"/>
        <c:scaling>
          <c:orientation val="minMax"/>
        </c:scaling>
        <c:delete val="1"/>
        <c:axPos val="l"/>
        <c:numFmt formatCode="&quot;$&quot;#,##0&quot;M&quot;" sourceLinked="1"/>
        <c:majorTickMark val="none"/>
        <c:minorTickMark val="none"/>
        <c:tickLblPos val="nextTo"/>
        <c:crossAx val="71390254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baseline="0">
                <a:solidFill>
                  <a:schemeClr val="bg1"/>
                </a:solidFill>
              </a:rPr>
              <a:t>OPERATING INCOME  (EBIT) BY QUATER</a:t>
            </a:r>
          </a:p>
          <a:p>
            <a:pPr algn="l">
              <a:defRPr/>
            </a:pPr>
            <a:r>
              <a:rPr lang="en-US" sz="1100" b="1" baseline="0">
                <a:solidFill>
                  <a:schemeClr val="bg1"/>
                </a:solidFill>
              </a:rPr>
              <a:t>Operating income dips in Q3 due to a one time expense charge</a:t>
            </a:r>
            <a:endParaRPr lang="en-US" sz="11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4125388542499697E-4"/>
          <c:y val="1.411735002760351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Analysis!$B$29:$E$29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Analysis!$B$30:$E$30</c:f>
              <c:numCache>
                <c:formatCode>"$"#,##0"M"</c:formatCode>
                <c:ptCount val="4"/>
                <c:pt idx="0">
                  <c:v>1904</c:v>
                </c:pt>
                <c:pt idx="1">
                  <c:v>3339</c:v>
                </c:pt>
                <c:pt idx="2">
                  <c:v>-502</c:v>
                </c:pt>
                <c:pt idx="3">
                  <c:v>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E-482E-956C-C464DC3BCD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26187695"/>
        <c:axId val="726188175"/>
      </c:lineChart>
      <c:catAx>
        <c:axId val="72618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5F5F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88175"/>
        <c:crosses val="autoZero"/>
        <c:auto val="1"/>
        <c:lblAlgn val="ctr"/>
        <c:lblOffset val="100"/>
        <c:noMultiLvlLbl val="0"/>
      </c:catAx>
      <c:valAx>
        <c:axId val="726188175"/>
        <c:scaling>
          <c:orientation val="minMax"/>
        </c:scaling>
        <c:delete val="1"/>
        <c:axPos val="l"/>
        <c:numFmt formatCode="&quot;$&quot;#,##0&quot;M&quot;" sourceLinked="1"/>
        <c:majorTickMark val="none"/>
        <c:minorTickMark val="none"/>
        <c:tickLblPos val="nextTo"/>
        <c:crossAx val="7261876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bg1"/>
                </a:solidFill>
              </a:rPr>
              <a:t>REVENUE</a:t>
            </a:r>
            <a:r>
              <a:rPr lang="en-US" sz="1100" b="1" baseline="0">
                <a:solidFill>
                  <a:schemeClr val="bg1"/>
                </a:solidFill>
              </a:rPr>
              <a:t> VS EXPENSES</a:t>
            </a:r>
          </a:p>
          <a:p>
            <a:pPr algn="l">
              <a:defRPr/>
            </a:pPr>
            <a:r>
              <a:rPr lang="en-US" sz="1100" b="1" baseline="0">
                <a:solidFill>
                  <a:schemeClr val="bg1"/>
                </a:solidFill>
              </a:rPr>
              <a:t>Revenue exceeds expenses across all quaters</a:t>
            </a:r>
            <a:endParaRPr lang="en-US" sz="11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7560637630147202E-3"/>
          <c:y val="2.889107256097369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Analysis!$B$47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Analysis!$A$48:$A$51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Analysis!$B$48:$B$51</c:f>
              <c:numCache>
                <c:formatCode>"$"#,##0"M"</c:formatCode>
                <c:ptCount val="4"/>
                <c:pt idx="0">
                  <c:v>14460</c:v>
                </c:pt>
                <c:pt idx="1">
                  <c:v>15800</c:v>
                </c:pt>
                <c:pt idx="2">
                  <c:v>14970</c:v>
                </c:pt>
                <c:pt idx="3">
                  <c:v>17523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1-40C3-AC9A-A952E4A8F788}"/>
            </c:ext>
          </c:extLst>
        </c:ser>
        <c:ser>
          <c:idx val="1"/>
          <c:order val="1"/>
          <c:tx>
            <c:strRef>
              <c:f>Analysis!$C$47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Analysis!$A$48:$A$51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Analysis!$C$48:$C$51</c:f>
              <c:numCache>
                <c:formatCode>"$"#,##0"M"</c:formatCode>
                <c:ptCount val="4"/>
                <c:pt idx="0">
                  <c:v>6590</c:v>
                </c:pt>
                <c:pt idx="1">
                  <c:v>6617</c:v>
                </c:pt>
                <c:pt idx="2">
                  <c:v>6632</c:v>
                </c:pt>
                <c:pt idx="3">
                  <c:v>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C1-40C3-AC9A-A952E4A8F78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6775055"/>
        <c:axId val="906792335"/>
      </c:lineChart>
      <c:catAx>
        <c:axId val="90677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792335"/>
        <c:crosses val="autoZero"/>
        <c:auto val="1"/>
        <c:lblAlgn val="ctr"/>
        <c:lblOffset val="100"/>
        <c:noMultiLvlLbl val="0"/>
      </c:catAx>
      <c:valAx>
        <c:axId val="906792335"/>
        <c:scaling>
          <c:orientation val="minMax"/>
        </c:scaling>
        <c:delete val="1"/>
        <c:axPos val="l"/>
        <c:numFmt formatCode="&quot;$&quot;#,##0&quot;M&quot;" sourceLinked="1"/>
        <c:majorTickMark val="none"/>
        <c:minorTickMark val="none"/>
        <c:tickLblPos val="nextTo"/>
        <c:crossAx val="90677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210"/>
      </c:pieChart>
      <c:spPr>
        <a:noFill/>
        <a:ln>
          <a:noFill/>
        </a:ln>
        <a:effectLst>
          <a:outerShdw blurRad="50800" dist="50800" dir="5400000" sx="1000" sy="1000" algn="ctr" rotWithShape="0">
            <a:srgbClr val="000000">
              <a:alpha val="43137"/>
            </a:srgb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bg1"/>
                </a:solidFill>
              </a:rPr>
              <a:t>NET INCOME</a:t>
            </a:r>
            <a:r>
              <a:rPr lang="en-US" sz="1100" b="1" baseline="0">
                <a:solidFill>
                  <a:schemeClr val="bg1"/>
                </a:solidFill>
              </a:rPr>
              <a:t> VS OPERATING INCOME</a:t>
            </a:r>
          </a:p>
          <a:p>
            <a:pPr algn="l">
              <a:defRPr/>
            </a:pPr>
            <a:r>
              <a:rPr lang="en-US" sz="1100" b="1" baseline="0">
                <a:solidFill>
                  <a:schemeClr val="bg1"/>
                </a:solidFill>
              </a:rPr>
              <a:t>Net income drops in Q3 due to one pension charge despite stable operations</a:t>
            </a:r>
            <a:endParaRPr lang="en-US" sz="11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2.0500562429696272E-3"/>
          <c:y val="6.634832457198983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428571428571426E-3"/>
          <c:y val="0.18100667054485611"/>
          <c:w val="0.98809523809523814"/>
          <c:h val="0.720428584204081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Analysis!$A$54</c:f>
              <c:strCache>
                <c:ptCount val="1"/>
                <c:pt idx="0">
                  <c:v>Net Income 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3809523809523898E-2"/>
                  <c:y val="1.3743703839370329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83-416E-9BC2-5928D20BE2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Analysis!$B$53:$E$53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Analysis!$B$54:$E$54</c:f>
              <c:numCache>
                <c:formatCode>"$"#,##0"M"</c:formatCode>
                <c:ptCount val="4"/>
                <c:pt idx="0">
                  <c:v>878</c:v>
                </c:pt>
                <c:pt idx="1">
                  <c:v>2591</c:v>
                </c:pt>
                <c:pt idx="2">
                  <c:v>-308</c:v>
                </c:pt>
                <c:pt idx="3">
                  <c:v>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E-46AC-9943-E2123CC4D770}"/>
            </c:ext>
          </c:extLst>
        </c:ser>
        <c:ser>
          <c:idx val="1"/>
          <c:order val="1"/>
          <c:tx>
            <c:strRef>
              <c:f>Analysis!$A$55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3.571428571428562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83-416E-9BC2-5928D20BE2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Analysis!$B$53:$E$53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Analysis!$B$55:$E$55</c:f>
              <c:numCache>
                <c:formatCode>"$"#,##0"M"</c:formatCode>
                <c:ptCount val="4"/>
                <c:pt idx="0">
                  <c:v>1904</c:v>
                </c:pt>
                <c:pt idx="1">
                  <c:v>3339</c:v>
                </c:pt>
                <c:pt idx="2">
                  <c:v>-502</c:v>
                </c:pt>
                <c:pt idx="3">
                  <c:v>4508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E-46AC-9943-E2123CC4D7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9"/>
        <c:overlap val="-27"/>
        <c:axId val="474873855"/>
        <c:axId val="474896415"/>
      </c:barChart>
      <c:catAx>
        <c:axId val="47487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96415"/>
        <c:crosses val="autoZero"/>
        <c:auto val="1"/>
        <c:lblAlgn val="ctr"/>
        <c:lblOffset val="100"/>
        <c:noMultiLvlLbl val="0"/>
      </c:catAx>
      <c:valAx>
        <c:axId val="474896415"/>
        <c:scaling>
          <c:orientation val="minMax"/>
        </c:scaling>
        <c:delete val="1"/>
        <c:axPos val="l"/>
        <c:numFmt formatCode="&quot;$&quot;#,##0&quot;M&quot;" sourceLinked="1"/>
        <c:majorTickMark val="none"/>
        <c:minorTickMark val="none"/>
        <c:tickLblPos val="nextTo"/>
        <c:crossAx val="47487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F5F5F5"/>
                </a:solidFill>
              </a:rPr>
              <a:t>SEGMENT</a:t>
            </a:r>
            <a:r>
              <a:rPr lang="en-US" sz="1100" b="1" baseline="0">
                <a:solidFill>
                  <a:srgbClr val="F5F5F5"/>
                </a:solidFill>
              </a:rPr>
              <a:t> CONTRIBUTION</a:t>
            </a:r>
          </a:p>
          <a:p>
            <a:pPr algn="l">
              <a:defRPr/>
            </a:pPr>
            <a:r>
              <a:rPr lang="en-US" sz="1100" b="1" baseline="0">
                <a:solidFill>
                  <a:srgbClr val="F5F5F5"/>
                </a:solidFill>
              </a:rPr>
              <a:t>Software is the top revenue driver at 42%</a:t>
            </a:r>
            <a:endParaRPr lang="en-US" sz="1100" b="1">
              <a:solidFill>
                <a:srgbClr val="F5F5F5"/>
              </a:solidFill>
            </a:endParaRPr>
          </a:p>
        </c:rich>
      </c:tx>
      <c:layout>
        <c:manualLayout>
          <c:xMode val="edge"/>
          <c:yMode val="edge"/>
          <c:x val="2.633527209452976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B2-4033-A764-9552B979086B}"/>
              </c:ext>
            </c:extLst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B2-4033-A764-9552B979086B}"/>
              </c:ext>
            </c:extLst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B2-4033-A764-9552B979086B}"/>
              </c:ext>
            </c:extLst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B2-4033-A764-9552B97908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5F5F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Analysis!$A$2:$A$5</c:f>
              <c:strCache>
                <c:ptCount val="4"/>
                <c:pt idx="0">
                  <c:v>Software </c:v>
                </c:pt>
                <c:pt idx="1">
                  <c:v>Consulting </c:v>
                </c:pt>
                <c:pt idx="2">
                  <c:v>Infrastructure </c:v>
                </c:pt>
                <c:pt idx="3">
                  <c:v>Financing &amp; Other</c:v>
                </c:pt>
              </c:strCache>
            </c:strRef>
          </c:cat>
          <c:val>
            <c:numRef>
              <c:f>Analysis!$J$2:$J$5</c:f>
              <c:numCache>
                <c:formatCode>0%</c:formatCode>
                <c:ptCount val="4"/>
                <c:pt idx="0">
                  <c:v>0.41875288830812868</c:v>
                </c:pt>
                <c:pt idx="1">
                  <c:v>0.33305180628814557</c:v>
                </c:pt>
                <c:pt idx="2">
                  <c:v>0.21983012764329993</c:v>
                </c:pt>
                <c:pt idx="3">
                  <c:v>2.8365177760425797E-2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B2-4033-A764-9552B979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F5F5F5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F5F5F5"/>
                </a:solidFill>
              </a:rPr>
              <a:t>OPERATING</a:t>
            </a:r>
            <a:r>
              <a:rPr lang="en-US" sz="1100" b="1" baseline="0">
                <a:solidFill>
                  <a:srgbClr val="F5F5F5"/>
                </a:solidFill>
              </a:rPr>
              <a:t> EXPENSE BY QUATER</a:t>
            </a:r>
          </a:p>
          <a:p>
            <a:pPr algn="l">
              <a:defRPr/>
            </a:pPr>
            <a:r>
              <a:rPr lang="en-US" sz="1100" b="1" baseline="0">
                <a:solidFill>
                  <a:srgbClr val="F5F5F5"/>
                </a:solidFill>
              </a:rPr>
              <a:t>Operating  expenses remains stable with a one time spike in Q3 driven by pension settlement</a:t>
            </a:r>
            <a:endParaRPr lang="en-US" sz="1100" b="1">
              <a:solidFill>
                <a:srgbClr val="F5F5F5"/>
              </a:solidFill>
            </a:endParaRPr>
          </a:p>
        </c:rich>
      </c:tx>
      <c:layout>
        <c:manualLayout>
          <c:xMode val="edge"/>
          <c:yMode val="edge"/>
          <c:x val="1.710967985046137E-3"/>
          <c:y val="2.27515833945060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21129736235022559"/>
          <c:w val="1"/>
          <c:h val="0.56051848039230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Analysis!$A$22</c:f>
              <c:strCache>
                <c:ptCount val="1"/>
                <c:pt idx="0">
                  <c:v>R&amp;D Expense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176165862297631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47-4855-8FD7-37E1D9A45C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5F5F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Analysis!$B$21:$E$21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Analysis!$B$22:$E$22</c:f>
              <c:numCache>
                <c:formatCode>"$"#,##0"M"</c:formatCode>
                <c:ptCount val="4"/>
                <c:pt idx="0">
                  <c:v>1673</c:v>
                </c:pt>
                <c:pt idx="1">
                  <c:v>1682</c:v>
                </c:pt>
                <c:pt idx="2">
                  <c:v>1700</c:v>
                </c:pt>
                <c:pt idx="3">
                  <c:v>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7-4855-8FD7-37E1D9A45C4E}"/>
            </c:ext>
          </c:extLst>
        </c:ser>
        <c:ser>
          <c:idx val="1"/>
          <c:order val="1"/>
          <c:tx>
            <c:strRef>
              <c:f>Analysis!$A$23</c:f>
              <c:strCache>
                <c:ptCount val="1"/>
                <c:pt idx="0">
                  <c:v>SG&amp;A Expense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5F5F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Analysis!$B$21:$E$21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Analysis!$B$23:$E$23</c:f>
              <c:numCache>
                <c:formatCode>"$"#,##0"M"</c:formatCode>
                <c:ptCount val="4"/>
                <c:pt idx="0">
                  <c:v>4098</c:v>
                </c:pt>
                <c:pt idx="1">
                  <c:v>3979</c:v>
                </c:pt>
                <c:pt idx="2">
                  <c:v>3830</c:v>
                </c:pt>
                <c:pt idx="3">
                  <c:v>4261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7-4855-8FD7-37E1D9A45C4E}"/>
            </c:ext>
          </c:extLst>
        </c:ser>
        <c:ser>
          <c:idx val="2"/>
          <c:order val="2"/>
          <c:tx>
            <c:strRef>
              <c:f>Analysis!$A$24</c:f>
              <c:strCache>
                <c:ptCount val="1"/>
                <c:pt idx="0">
                  <c:v>Pension Settlement Charge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9015544830635086E-2"/>
                  <c:y val="-6.81265232916274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47-4855-8FD7-37E1D9A45C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5F5F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Analysis!$B$21:$E$21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Analysis!$B$24:$E$24</c:f>
              <c:numCache>
                <c:formatCode>"$"#,##0"M"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3100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7-4855-8FD7-37E1D9A45C4E}"/>
            </c:ext>
          </c:extLst>
        </c:ser>
        <c:ser>
          <c:idx val="3"/>
          <c:order val="3"/>
          <c:tx>
            <c:strRef>
              <c:f>Analysis!$A$25</c:f>
              <c:strCache>
                <c:ptCount val="1"/>
                <c:pt idx="0">
                  <c:v>Other (Income)/Expense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934369655375670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47-4855-8FD7-37E1D9A45C4E}"/>
                </c:ext>
              </c:extLst>
            </c:dLbl>
            <c:dLbl>
              <c:idx val="1"/>
              <c:layout>
                <c:manualLayout>
                  <c:x val="2.4179620692195904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47-4855-8FD7-37E1D9A45C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5F5F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Analysis!$B$21:$E$21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Analysis!$B$25:$E$25</c:f>
              <c:numCache>
                <c:formatCode>"$"#,##0"M"</c:formatCode>
                <c:ptCount val="4"/>
                <c:pt idx="0">
                  <c:v>195</c:v>
                </c:pt>
                <c:pt idx="1">
                  <c:v>183</c:v>
                </c:pt>
                <c:pt idx="2">
                  <c:v>210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47-4855-8FD7-37E1D9A45C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overlap val="-27"/>
        <c:axId val="1713269359"/>
        <c:axId val="1713265519"/>
      </c:barChart>
      <c:catAx>
        <c:axId val="171326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5F5F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265519"/>
        <c:crosses val="autoZero"/>
        <c:auto val="1"/>
        <c:lblAlgn val="ctr"/>
        <c:lblOffset val="100"/>
        <c:noMultiLvlLbl val="0"/>
      </c:catAx>
      <c:valAx>
        <c:axId val="1713265519"/>
        <c:scaling>
          <c:orientation val="minMax"/>
        </c:scaling>
        <c:delete val="1"/>
        <c:axPos val="l"/>
        <c:numFmt formatCode="&quot;$&quot;#,##0&quot;M&quot;" sourceLinked="1"/>
        <c:majorTickMark val="none"/>
        <c:minorTickMark val="none"/>
        <c:tickLblPos val="nextTo"/>
        <c:crossAx val="171326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728862327837537E-2"/>
          <c:y val="0.84443263508393329"/>
          <c:w val="0.93143701765500431"/>
          <c:h val="0.12818785362956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F5F5F5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577575</xdr:colOff>
      <xdr:row>0</xdr:row>
      <xdr:rowOff>26296</xdr:rowOff>
    </xdr:from>
    <xdr:to>
      <xdr:col>27</xdr:col>
      <xdr:colOff>397054</xdr:colOff>
      <xdr:row>57</xdr:row>
      <xdr:rowOff>68035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72F25D24-2E2A-8936-CDB3-B356204A88F1}"/>
            </a:ext>
          </a:extLst>
        </xdr:cNvPr>
        <xdr:cNvGrpSpPr/>
      </xdr:nvGrpSpPr>
      <xdr:grpSpPr>
        <a:xfrm>
          <a:off x="577575" y="26296"/>
          <a:ext cx="16383293" cy="11084281"/>
          <a:chOff x="225093" y="0"/>
          <a:chExt cx="16116300" cy="8620124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E82C986D-FD0E-423D-2285-1E12D1054D88}"/>
              </a:ext>
            </a:extLst>
          </xdr:cNvPr>
          <xdr:cNvGrpSpPr/>
        </xdr:nvGrpSpPr>
        <xdr:grpSpPr>
          <a:xfrm>
            <a:off x="225093" y="0"/>
            <a:ext cx="16116300" cy="8620124"/>
            <a:chOff x="223085" y="79376"/>
            <a:chExt cx="15513047" cy="8620124"/>
          </a:xfrm>
          <a:effectLst>
            <a:outerShdw blurRad="419100" dist="50800" dir="5400000" algn="ctr" rotWithShape="0">
              <a:srgbClr val="000000">
                <a:alpha val="43137"/>
              </a:srgbClr>
            </a:outerShdw>
          </a:effectLst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A34DC4D7-1367-24D8-1EFC-72BC6DDEBC92}"/>
                </a:ext>
              </a:extLst>
            </xdr:cNvPr>
            <xdr:cNvSpPr/>
          </xdr:nvSpPr>
          <xdr:spPr>
            <a:xfrm>
              <a:off x="223085" y="79376"/>
              <a:ext cx="15513047" cy="8620124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effectLst>
              <a:outerShdw blurRad="368300" dist="50800" dir="5400000" algn="ctr" rotWithShape="0">
                <a:srgbClr val="000000">
                  <a:alpha val="43137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0A228967-15E6-E4C9-F5A5-0C3B472AA2FE}"/>
                </a:ext>
              </a:extLst>
            </xdr:cNvPr>
            <xdr:cNvSpPr/>
          </xdr:nvSpPr>
          <xdr:spPr>
            <a:xfrm>
              <a:off x="565862" y="190500"/>
              <a:ext cx="14406323" cy="9144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279400" dist="50800" dir="5400000" algn="ctr" rotWithShape="0">
                <a:srgbClr val="000000">
                  <a:alpha val="43137"/>
                </a:srgbClr>
              </a:outerShdw>
            </a:effectLst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2800" b="1">
                  <a:solidFill>
                    <a:schemeClr val="bg1"/>
                  </a:solidFill>
                </a:rPr>
                <a:t>IBM</a:t>
              </a:r>
              <a:r>
                <a:rPr lang="en-US" sz="2800" b="1" baseline="0">
                  <a:solidFill>
                    <a:schemeClr val="bg1"/>
                  </a:solidFill>
                </a:rPr>
                <a:t> FY2024 FINANCIAL PERFORMANCE DASHBOARD</a:t>
              </a:r>
              <a:endParaRPr lang="en-US" sz="28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279E33DB-2277-B47E-DF8E-4600E2EF2C36}"/>
                </a:ext>
              </a:extLst>
            </xdr:cNvPr>
            <xdr:cNvSpPr/>
          </xdr:nvSpPr>
          <xdr:spPr>
            <a:xfrm>
              <a:off x="381000" y="1333500"/>
              <a:ext cx="2222500" cy="1333500"/>
            </a:xfrm>
            <a:prstGeom prst="roundRect">
              <a:avLst/>
            </a:prstGeom>
            <a:effectLst>
              <a:outerShdw blurRad="368300" dist="50800" dir="5400000" algn="ctr" rotWithShape="0">
                <a:srgbClr val="000000">
                  <a:alpha val="43137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200" b="1"/>
                <a:t>OPERATING</a:t>
              </a:r>
              <a:r>
                <a:rPr lang="en-US" sz="1200" b="1" baseline="0"/>
                <a:t> NON-GAAP EPS</a:t>
              </a:r>
              <a:endParaRPr lang="en-US" sz="1200" b="1"/>
            </a:p>
          </xdr:txBody>
        </xdr:sp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BE1B241E-45C0-2838-03D5-C270E944585F}"/>
                </a:ext>
              </a:extLst>
            </xdr:cNvPr>
            <xdr:cNvSpPr/>
          </xdr:nvSpPr>
          <xdr:spPr>
            <a:xfrm>
              <a:off x="2876549" y="1317625"/>
              <a:ext cx="2222500" cy="1333500"/>
            </a:xfrm>
            <a:prstGeom prst="roundRect">
              <a:avLst/>
            </a:prstGeom>
            <a:effectLst>
              <a:outerShdw blurRad="368300" dist="50800" dir="5400000" algn="ctr" rotWithShape="0">
                <a:srgbClr val="000000">
                  <a:alpha val="43137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200" b="1"/>
                <a:t>TOTAL REVENUE </a:t>
              </a:r>
            </a:p>
          </xdr:txBody>
        </xdr:sp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9FEA82A6-B4F3-1449-7909-C7038D1531BC}"/>
                </a:ext>
              </a:extLst>
            </xdr:cNvPr>
            <xdr:cNvSpPr/>
          </xdr:nvSpPr>
          <xdr:spPr>
            <a:xfrm>
              <a:off x="5372099" y="1333500"/>
              <a:ext cx="2222500" cy="1333500"/>
            </a:xfrm>
            <a:prstGeom prst="roundRect">
              <a:avLst/>
            </a:prstGeom>
            <a:effectLst>
              <a:outerShdw blurRad="368300" dist="50800" dir="5400000" algn="ctr" rotWithShape="0">
                <a:srgbClr val="000000">
                  <a:alpha val="43137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200" b="1"/>
                <a:t>TOTAL OPERATING EXPENSES</a:t>
              </a:r>
            </a:p>
          </xdr:txBody>
        </xdr:sp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DC553B48-84C3-F845-E41E-54C9C2275827}"/>
                </a:ext>
              </a:extLst>
            </xdr:cNvPr>
            <xdr:cNvSpPr/>
          </xdr:nvSpPr>
          <xdr:spPr>
            <a:xfrm>
              <a:off x="7867648" y="1333500"/>
              <a:ext cx="2222500" cy="1333500"/>
            </a:xfrm>
            <a:prstGeom prst="roundRect">
              <a:avLst/>
            </a:prstGeom>
            <a:effectLst>
              <a:outerShdw blurRad="368300" dist="50800" dir="5400000" algn="ctr" rotWithShape="0">
                <a:srgbClr val="000000">
                  <a:alpha val="43137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200" b="1"/>
                <a:t>NET INCOME</a:t>
              </a:r>
            </a:p>
          </xdr:txBody>
        </xdr:sp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7FD67762-C519-5FDB-D4A2-9C19EF8DC310}"/>
                </a:ext>
              </a:extLst>
            </xdr:cNvPr>
            <xdr:cNvSpPr/>
          </xdr:nvSpPr>
          <xdr:spPr>
            <a:xfrm>
              <a:off x="10363198" y="1333500"/>
              <a:ext cx="2222500" cy="1333500"/>
            </a:xfrm>
            <a:prstGeom prst="roundRect">
              <a:avLst/>
            </a:prstGeom>
            <a:effectLst>
              <a:outerShdw blurRad="368300" dist="50800" dir="5400000" algn="ctr" rotWithShape="0">
                <a:srgbClr val="000000">
                  <a:alpha val="43137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200" b="1"/>
                <a:t>EBIT (OPERATING</a:t>
              </a:r>
              <a:r>
                <a:rPr lang="en-US" sz="1200" b="1" baseline="0"/>
                <a:t> INCOME)</a:t>
              </a:r>
              <a:endParaRPr lang="en-US" sz="1200" b="1"/>
            </a:p>
          </xdr:txBody>
        </xdr:sp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A2CC0689-16C5-E80C-E716-891BFDECBE2E}"/>
                </a:ext>
              </a:extLst>
            </xdr:cNvPr>
            <xdr:cNvSpPr/>
          </xdr:nvSpPr>
          <xdr:spPr>
            <a:xfrm>
              <a:off x="12858750" y="1333500"/>
              <a:ext cx="2222500" cy="1333500"/>
            </a:xfrm>
            <a:prstGeom prst="roundRect">
              <a:avLst/>
            </a:prstGeom>
            <a:effectLst>
              <a:outerShdw blurRad="368300" dist="50800" dir="5400000" algn="ctr" rotWithShape="0">
                <a:srgbClr val="000000">
                  <a:alpha val="43137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200" b="1"/>
                <a:t>OPERATING MARGIN</a:t>
              </a:r>
            </a:p>
          </xdr:txBody>
        </xdr:sp>
      </xdr:grp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AFDA1BD-7853-2992-21F7-E88C34EC63A4}"/>
              </a:ext>
            </a:extLst>
          </xdr:cNvPr>
          <xdr:cNvSpPr/>
        </xdr:nvSpPr>
        <xdr:spPr>
          <a:xfrm>
            <a:off x="339803" y="2681524"/>
            <a:ext cx="5230243" cy="2936338"/>
          </a:xfrm>
          <a:prstGeom prst="rect">
            <a:avLst/>
          </a:prstGeom>
          <a:effectLst>
            <a:outerShdw blurRad="355600" dist="50800" dir="5400000" algn="ctr" rotWithShape="0">
              <a:srgbClr val="000000">
                <a:alpha val="43137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9F9F55C8-0AD3-DD9C-9AC0-D8E225584C22}"/>
              </a:ext>
            </a:extLst>
          </xdr:cNvPr>
          <xdr:cNvSpPr/>
        </xdr:nvSpPr>
        <xdr:spPr>
          <a:xfrm>
            <a:off x="5667375" y="2681524"/>
            <a:ext cx="5173146" cy="2947099"/>
          </a:xfrm>
          <a:prstGeom prst="rect">
            <a:avLst/>
          </a:prstGeom>
          <a:effectLst>
            <a:outerShdw blurRad="355600" dist="50800" dir="5400000" algn="ctr" rotWithShape="0">
              <a:srgbClr val="000000">
                <a:alpha val="43137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b="1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20418D1-D642-0BBC-82B0-C174894B5A80}"/>
              </a:ext>
            </a:extLst>
          </xdr:cNvPr>
          <xdr:cNvSpPr/>
        </xdr:nvSpPr>
        <xdr:spPr>
          <a:xfrm>
            <a:off x="10947807" y="2701686"/>
            <a:ext cx="5243653" cy="2926937"/>
          </a:xfrm>
          <a:prstGeom prst="rect">
            <a:avLst/>
          </a:prstGeom>
          <a:effectLst>
            <a:outerShdw blurRad="355600" dist="50800" dir="5400000" algn="ctr" rotWithShape="0">
              <a:srgbClr val="000000">
                <a:alpha val="43137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171AB670-DC7D-CB61-EE03-EE4C6096D447}"/>
              </a:ext>
            </a:extLst>
          </xdr:cNvPr>
          <xdr:cNvSpPr/>
        </xdr:nvSpPr>
        <xdr:spPr>
          <a:xfrm>
            <a:off x="366628" y="5757753"/>
            <a:ext cx="5243651" cy="2758492"/>
          </a:xfrm>
          <a:prstGeom prst="rect">
            <a:avLst/>
          </a:prstGeom>
          <a:effectLst>
            <a:outerShdw blurRad="355600" dist="50800" dir="5400000" algn="ctr" rotWithShape="0">
              <a:srgbClr val="000000">
                <a:alpha val="43137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68D44B8D-E779-1CAD-FA19-2E44A66FC9F1}"/>
              </a:ext>
            </a:extLst>
          </xdr:cNvPr>
          <xdr:cNvSpPr/>
        </xdr:nvSpPr>
        <xdr:spPr>
          <a:xfrm>
            <a:off x="5757798" y="5746993"/>
            <a:ext cx="5096132" cy="2760226"/>
          </a:xfrm>
          <a:prstGeom prst="rect">
            <a:avLst/>
          </a:prstGeom>
          <a:effectLst>
            <a:outerShdw blurRad="355600" dist="50800" dir="5400000" algn="ctr" rotWithShape="0">
              <a:srgbClr val="000000">
                <a:alpha val="43137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13FFB52-93EB-24CA-F2CB-6AB13487E365}"/>
              </a:ext>
            </a:extLst>
          </xdr:cNvPr>
          <xdr:cNvSpPr/>
        </xdr:nvSpPr>
        <xdr:spPr>
          <a:xfrm>
            <a:off x="10997537" y="5746993"/>
            <a:ext cx="5193924" cy="2767484"/>
          </a:xfrm>
          <a:prstGeom prst="rect">
            <a:avLst/>
          </a:prstGeom>
          <a:effectLst>
            <a:outerShdw blurRad="355600" dist="50800" dir="5400000" algn="ctr" rotWithShape="0">
              <a:srgbClr val="000000">
                <a:alpha val="43137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81644</xdr:colOff>
      <xdr:row>17</xdr:row>
      <xdr:rowOff>136071</xdr:rowOff>
    </xdr:from>
    <xdr:to>
      <xdr:col>9</xdr:col>
      <xdr:colOff>517072</xdr:colOff>
      <xdr:row>37</xdr:row>
      <xdr:rowOff>54428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A01B112-1179-4628-A90B-FA1FD6BF2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285750</xdr:colOff>
      <xdr:row>1</xdr:row>
      <xdr:rowOff>101022</xdr:rowOff>
    </xdr:from>
    <xdr:ext cx="7239000" cy="7620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DEC1FD2-F080-361E-E8D5-8A30F86D78A6}"/>
            </a:ext>
          </a:extLst>
        </xdr:cNvPr>
        <xdr:cNvSpPr txBox="1"/>
      </xdr:nvSpPr>
      <xdr:spPr>
        <a:xfrm>
          <a:off x="8858250" y="291522"/>
          <a:ext cx="7239000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FINANCIAL PERFORMANCE ANALYSIS FOCUSING</a:t>
          </a:r>
          <a:r>
            <a:rPr lang="en-US" sz="12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ON OPERATING EFFICENCY, QUARTERLY TRENDS AND SEGMENT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CONTRIBUTIONS TO EXPLAIN GROWTH IN OPERATING NON-GAAP EPS .</a:t>
          </a:r>
          <a:endParaRPr lang="en-US" sz="1200" b="1">
            <a:solidFill>
              <a:schemeClr val="bg1"/>
            </a:solidFill>
            <a:effectLst/>
          </a:endParaRPr>
        </a:p>
        <a:p>
          <a:pPr algn="l"/>
          <a:endParaRPr 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263270</xdr:colOff>
      <xdr:row>12</xdr:row>
      <xdr:rowOff>44797</xdr:rowOff>
    </xdr:from>
    <xdr:ext cx="1469057" cy="468013"/>
    <xdr:sp macro="" textlink="Analysis!F26">
      <xdr:nvSpPr>
        <xdr:cNvPr id="27" name="TextBox 26">
          <a:extLst>
            <a:ext uri="{FF2B5EF4-FFF2-40B4-BE49-F238E27FC236}">
              <a16:creationId xmlns:a16="http://schemas.microsoft.com/office/drawing/2014/main" id="{BD7041B5-18C7-A26D-3553-A7156592D3BD}"/>
            </a:ext>
          </a:extLst>
        </xdr:cNvPr>
        <xdr:cNvSpPr txBox="1"/>
      </xdr:nvSpPr>
      <xdr:spPr>
        <a:xfrm>
          <a:off x="6386484" y="2330797"/>
          <a:ext cx="146905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D402441-FCC3-4E9D-BE83-897615FB5807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$25,854M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13619</xdr:colOff>
      <xdr:row>12</xdr:row>
      <xdr:rowOff>1051</xdr:rowOff>
    </xdr:from>
    <xdr:ext cx="1313052" cy="468013"/>
    <xdr:sp macro="" textlink="Analysis!F35">
      <xdr:nvSpPr>
        <xdr:cNvPr id="29" name="TextBox 28">
          <a:extLst>
            <a:ext uri="{FF2B5EF4-FFF2-40B4-BE49-F238E27FC236}">
              <a16:creationId xmlns:a16="http://schemas.microsoft.com/office/drawing/2014/main" id="{99CDF15F-F5CC-4C0F-7B40-9F1AC1D98E81}"/>
            </a:ext>
          </a:extLst>
        </xdr:cNvPr>
        <xdr:cNvSpPr txBox="1"/>
      </xdr:nvSpPr>
      <xdr:spPr>
        <a:xfrm>
          <a:off x="9198440" y="2287051"/>
          <a:ext cx="1313052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spAutoFit/>
        </a:bodyPr>
        <a:lstStyle/>
        <a:p>
          <a:pPr algn="l"/>
          <a:fld id="{115E1384-1441-4A58-A4F0-39048EABB238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$6,023M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86335</xdr:colOff>
      <xdr:row>12</xdr:row>
      <xdr:rowOff>13759</xdr:rowOff>
    </xdr:from>
    <xdr:ext cx="1469057" cy="468013"/>
    <xdr:sp macro="" textlink="Analysis!F30">
      <xdr:nvSpPr>
        <xdr:cNvPr id="30" name="TextBox 29">
          <a:extLst>
            <a:ext uri="{FF2B5EF4-FFF2-40B4-BE49-F238E27FC236}">
              <a16:creationId xmlns:a16="http://schemas.microsoft.com/office/drawing/2014/main" id="{2BBEE207-8426-C89B-1DD5-2ADE02AF48E9}"/>
            </a:ext>
          </a:extLst>
        </xdr:cNvPr>
        <xdr:cNvSpPr txBox="1"/>
      </xdr:nvSpPr>
      <xdr:spPr>
        <a:xfrm>
          <a:off x="11720442" y="2299759"/>
          <a:ext cx="146905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56141D6-59B7-49F9-9182-932D643ACE8D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$10,049M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23</xdr:col>
      <xdr:colOff>585107</xdr:colOff>
      <xdr:row>12</xdr:row>
      <xdr:rowOff>22810</xdr:rowOff>
    </xdr:from>
    <xdr:ext cx="1074964" cy="405432"/>
    <xdr:sp macro="" textlink="Analysis!F31">
      <xdr:nvSpPr>
        <xdr:cNvPr id="31" name="TextBox 30">
          <a:extLst>
            <a:ext uri="{FF2B5EF4-FFF2-40B4-BE49-F238E27FC236}">
              <a16:creationId xmlns:a16="http://schemas.microsoft.com/office/drawing/2014/main" id="{AFC1883C-5F40-800E-2DFD-F26ABC45BA2D}"/>
            </a:ext>
          </a:extLst>
        </xdr:cNvPr>
        <xdr:cNvSpPr txBox="1"/>
      </xdr:nvSpPr>
      <xdr:spPr>
        <a:xfrm>
          <a:off x="14668500" y="2308810"/>
          <a:ext cx="107496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429086A-22B6-472D-9AB2-502F6A026286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16.0%</a:t>
          </a:fld>
          <a:endParaRPr lang="en-US" sz="2000" b="1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96009</xdr:colOff>
      <xdr:row>12</xdr:row>
      <xdr:rowOff>48620</xdr:rowOff>
    </xdr:from>
    <xdr:ext cx="1469057" cy="468013"/>
    <xdr:sp macro="" textlink="Analysis!F6">
      <xdr:nvSpPr>
        <xdr:cNvPr id="32" name="TextBox 31">
          <a:extLst>
            <a:ext uri="{FF2B5EF4-FFF2-40B4-BE49-F238E27FC236}">
              <a16:creationId xmlns:a16="http://schemas.microsoft.com/office/drawing/2014/main" id="{69EFE2A7-91D3-4761-FE63-EA139A8DE8FE}"/>
            </a:ext>
          </a:extLst>
        </xdr:cNvPr>
        <xdr:cNvSpPr txBox="1"/>
      </xdr:nvSpPr>
      <xdr:spPr>
        <a:xfrm>
          <a:off x="3769938" y="2334620"/>
          <a:ext cx="146905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8CF7BEA-E4BC-4D43-BC3E-C67D7114948A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$62,753M</a:t>
          </a:fld>
          <a:endParaRPr 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266939</xdr:colOff>
      <xdr:row>12</xdr:row>
      <xdr:rowOff>27214</xdr:rowOff>
    </xdr:from>
    <xdr:ext cx="2080057" cy="468013"/>
    <xdr:sp macro="" textlink="Analysis!F40">
      <xdr:nvSpPr>
        <xdr:cNvPr id="33" name="TextBox 32">
          <a:extLst>
            <a:ext uri="{FF2B5EF4-FFF2-40B4-BE49-F238E27FC236}">
              <a16:creationId xmlns:a16="http://schemas.microsoft.com/office/drawing/2014/main" id="{62ED5D32-F50C-A4EC-F993-465EC753749B}"/>
            </a:ext>
          </a:extLst>
        </xdr:cNvPr>
        <xdr:cNvSpPr txBox="1"/>
      </xdr:nvSpPr>
      <xdr:spPr>
        <a:xfrm>
          <a:off x="879260" y="2313214"/>
          <a:ext cx="2080057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188D07D-4FB4-4C74-AADE-FACE611DD7D0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$10.33</a:t>
          </a:fld>
          <a:r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(+7.4%)</a:t>
          </a:r>
          <a:endParaRPr lang="en-US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95250</xdr:colOff>
      <xdr:row>38</xdr:row>
      <xdr:rowOff>81643</xdr:rowOff>
    </xdr:from>
    <xdr:to>
      <xdr:col>9</xdr:col>
      <xdr:colOff>489857</xdr:colOff>
      <xdr:row>56</xdr:row>
      <xdr:rowOff>108857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AC74EF6-F8AA-447C-A717-BCE44D684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68036</xdr:colOff>
      <xdr:row>38</xdr:row>
      <xdr:rowOff>68035</xdr:rowOff>
    </xdr:from>
    <xdr:to>
      <xdr:col>18</xdr:col>
      <xdr:colOff>394607</xdr:colOff>
      <xdr:row>56</xdr:row>
      <xdr:rowOff>136070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8416782-0BE0-48CE-B6D8-6F650FF4C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31</xdr:row>
      <xdr:rowOff>0</xdr:rowOff>
    </xdr:from>
    <xdr:to>
      <xdr:col>27</xdr:col>
      <xdr:colOff>0</xdr:colOff>
      <xdr:row>44</xdr:row>
      <xdr:rowOff>107541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9A5202B-CD4A-4599-9C32-20410B8AC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421821</xdr:colOff>
      <xdr:row>17</xdr:row>
      <xdr:rowOff>176894</xdr:rowOff>
    </xdr:from>
    <xdr:to>
      <xdr:col>27</xdr:col>
      <xdr:colOff>244928</xdr:colOff>
      <xdr:row>37</xdr:row>
      <xdr:rowOff>54430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A10A6AB-C29E-409A-A7AF-DB03CF523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489858</xdr:colOff>
      <xdr:row>38</xdr:row>
      <xdr:rowOff>68036</xdr:rowOff>
    </xdr:from>
    <xdr:to>
      <xdr:col>27</xdr:col>
      <xdr:colOff>217715</xdr:colOff>
      <xdr:row>56</xdr:row>
      <xdr:rowOff>81642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581BE7-9E6D-47CE-B34B-2555DC67D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598714</xdr:colOff>
      <xdr:row>17</xdr:row>
      <xdr:rowOff>163286</xdr:rowOff>
    </xdr:from>
    <xdr:to>
      <xdr:col>18</xdr:col>
      <xdr:colOff>340178</xdr:colOff>
      <xdr:row>37</xdr:row>
      <xdr:rowOff>81643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302908F-C581-454E-A28A-C9A49F649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5D2004-F2E6-4B5C-B604-29FC7A472ACD}" name="Table6" displayName="Table6" ref="A9:I14" totalsRowShown="0">
  <autoFilter ref="A9:I14" xr:uid="{9D5D2004-F2E6-4B5C-B604-29FC7A472ACD}"/>
  <tableColumns count="9">
    <tableColumn id="1" xr3:uid="{900D9EDD-0B58-4E8E-97F8-F4FFA9D57B71}" name=" COST OF REVENUE "/>
    <tableColumn id="2" xr3:uid="{67064C63-3D7A-4724-A1BD-8C7026C07465}" name="Q1" dataDxfId="56">
      <calculatedColumnFormula>'--Quarterly_PL'!C12</calculatedColumnFormula>
    </tableColumn>
    <tableColumn id="3" xr3:uid="{8538926E-299D-45F1-A3F9-050578DBDDDF}" name="Q2" dataDxfId="55">
      <calculatedColumnFormula>'--Quarterly_PL'!D12</calculatedColumnFormula>
    </tableColumn>
    <tableColumn id="4" xr3:uid="{04E16BB1-C8C1-4CDF-AAC9-02E1682363A3}" name="Q3" dataDxfId="54">
      <calculatedColumnFormula>'--Quarterly_PL'!E12</calculatedColumnFormula>
    </tableColumn>
    <tableColumn id="5" xr3:uid="{11BEBE65-FCFB-4F99-A079-7CCD384A9AAA}" name="Q4" dataDxfId="53">
      <calculatedColumnFormula>'--Quarterly_PL'!F12</calculatedColumnFormula>
    </tableColumn>
    <tableColumn id="6" xr3:uid="{89E408C2-7CF7-44C8-BFA0-3183C47E2604}" name="FY 2024" dataDxfId="52">
      <calculatedColumnFormula>'--Quarterly_PL'!G12</calculatedColumnFormula>
    </tableColumn>
    <tableColumn id="7" xr3:uid="{20B6334E-8D20-4CF6-A125-760BCA1F4FAD}" name="FY 2023" dataDxfId="51">
      <calculatedColumnFormula>'--Quarterly_PL'!H12</calculatedColumnFormula>
    </tableColumn>
    <tableColumn id="8" xr3:uid="{42037BFB-4027-4704-964D-D64D84D37ECB}" name="YoY $M" dataDxfId="50">
      <calculatedColumnFormula>'--Quarterly_PL'!I12</calculatedColumnFormula>
    </tableColumn>
    <tableColumn id="9" xr3:uid="{DCFE65F5-96FB-46DB-8CA0-DFFD2F07EE16}" name="YoY %" dataDxfId="49" dataCellStyle="Percent">
      <calculatedColumnFormula>'--Quarterly_PL'!J12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1EF7E6-6E88-491A-A3CD-729A2443B8DB}" name="Table7" displayName="Table7" ref="A17:I19" totalsRowShown="0">
  <autoFilter ref="A17:I19" xr:uid="{631EF7E6-6E88-491A-A3CD-729A2443B8DB}"/>
  <tableColumns count="9">
    <tableColumn id="1" xr3:uid="{2790B811-6241-4879-94C6-29C53AFFDA5A}" name="GROSS PROFIT"/>
    <tableColumn id="2" xr3:uid="{8014DC43-D40A-4D72-9CC0-940AC52540C3}" name="Q1" dataDxfId="48">
      <calculatedColumnFormula>('--Quarterly_PL'!C19)*1</calculatedColumnFormula>
    </tableColumn>
    <tableColumn id="3" xr3:uid="{B1A8D7F8-AF16-4A9B-B570-39236033727A}" name="Q2" dataDxfId="47">
      <calculatedColumnFormula>('--Quarterly_PL'!D19)*1</calculatedColumnFormula>
    </tableColumn>
    <tableColumn id="4" xr3:uid="{2660B87C-045A-4A4D-A58B-B8AC66965F5D}" name="Q3" dataDxfId="46">
      <calculatedColumnFormula>('--Quarterly_PL'!E19)*1</calculatedColumnFormula>
    </tableColumn>
    <tableColumn id="5" xr3:uid="{192582C5-091B-4045-9CB6-FC54E0F85ABE}" name="Q4" dataDxfId="45">
      <calculatedColumnFormula>('--Quarterly_PL'!F19)*1</calculatedColumnFormula>
    </tableColumn>
    <tableColumn id="6" xr3:uid="{159A82B0-B858-4135-BD30-2449B3B931E3}" name="FY 2024" dataDxfId="44">
      <calculatedColumnFormula>('--Quarterly_PL'!G19)*1</calculatedColumnFormula>
    </tableColumn>
    <tableColumn id="7" xr3:uid="{45F9E07D-026D-43EF-8A8B-D60C366147AC}" name="FY 2023" dataDxfId="43">
      <calculatedColumnFormula>('--Quarterly_PL'!H19)*1</calculatedColumnFormula>
    </tableColumn>
    <tableColumn id="8" xr3:uid="{5975B5DA-A7EE-43EE-8661-F907B2CE713C}" name="YoY $M" dataDxfId="42">
      <calculatedColumnFormula>Table7[[#This Row],[FY 2024]]-Table7[[#This Row],[FY 2023]]</calculatedColumnFormula>
    </tableColumn>
    <tableColumn id="9" xr3:uid="{73B0FE63-BD62-494A-A351-640DB597CCC2}" name="YoY %" dataDxfId="41" dataCellStyle="Percent">
      <calculatedColumnFormula>'--Quarterly_PL'!J19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AACBDC-224F-4445-BBA0-992051D9439B}" name="Table8" displayName="Table8" ref="A21:I26" totalsRowShown="0">
  <autoFilter ref="A21:I26" xr:uid="{B1AACBDC-224F-4445-BBA0-992051D9439B}"/>
  <tableColumns count="9">
    <tableColumn id="1" xr3:uid="{98F4E66F-5A3E-4B27-8425-4351D17D42F0}" name="OPERATING EXPENSES"/>
    <tableColumn id="2" xr3:uid="{9C983144-B9FA-4CFB-ABF3-054B103E34AA}" name="Q1" dataDxfId="40">
      <calculatedColumnFormula>'--Quarterly_PL'!C23</calculatedColumnFormula>
    </tableColumn>
    <tableColumn id="3" xr3:uid="{0657EEA2-7AA8-4880-B5E9-85EDED327A1F}" name="Q2" dataDxfId="39">
      <calculatedColumnFormula>'--Quarterly_PL'!D23</calculatedColumnFormula>
    </tableColumn>
    <tableColumn id="4" xr3:uid="{7E4149A2-2741-4E49-81E5-1A7C0925C51A}" name="Q3" dataDxfId="38">
      <calculatedColumnFormula>'--Quarterly_PL'!E23</calculatedColumnFormula>
    </tableColumn>
    <tableColumn id="5" xr3:uid="{161333CB-29AB-4E12-B906-51ACF0BD154C}" name="Q4" dataDxfId="37">
      <calculatedColumnFormula>'--Quarterly_PL'!F23</calculatedColumnFormula>
    </tableColumn>
    <tableColumn id="6" xr3:uid="{C1E802FA-8F71-4F2F-B76B-E181F18ECFD9}" name="FY 2024" dataDxfId="36">
      <calculatedColumnFormula>'--Quarterly_PL'!G23</calculatedColumnFormula>
    </tableColumn>
    <tableColumn id="7" xr3:uid="{B5517046-631C-4B83-B7F4-61968322FE6D}" name="FY 2023" dataDxfId="35">
      <calculatedColumnFormula>'--Quarterly_PL'!H23</calculatedColumnFormula>
    </tableColumn>
    <tableColumn id="8" xr3:uid="{8D934239-3749-47E1-9B13-88D73EC296DE}" name="YoY $M" dataDxfId="34">
      <calculatedColumnFormula>'--Quarterly_PL'!I23</calculatedColumnFormula>
    </tableColumn>
    <tableColumn id="9" xr3:uid="{0C569B27-D9CE-4D57-BD16-27D8744B2C60}" name="YoY %" dataDxfId="33" dataCellStyle="Percent">
      <calculatedColumnFormula>'--Quarterly_PL'!J23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0B3D1C-7D34-4321-ACDD-224651CA88A7}" name="Table9" displayName="Table9" ref="A29:I31" totalsRowShown="0">
  <autoFilter ref="A29:I31" xr:uid="{9C0B3D1C-7D34-4321-ACDD-224651CA88A7}"/>
  <sortState xmlns:xlrd2="http://schemas.microsoft.com/office/spreadsheetml/2017/richdata2" ref="A30:I31">
    <sortCondition descending="1" ref="B30:B31"/>
  </sortState>
  <tableColumns count="9">
    <tableColumn id="1" xr3:uid="{9E2C027D-1672-4DFE-ACCE-8C19A13269CD}" name="EBIT"/>
    <tableColumn id="2" xr3:uid="{7D0EC41A-5F60-4DFC-80DB-ACBDE38C592B}" name="Q1" dataDxfId="32">
      <calculatedColumnFormula>('--Quarterly_PL'!C30)*1</calculatedColumnFormula>
    </tableColumn>
    <tableColumn id="3" xr3:uid="{8B644FE1-A80C-48B8-9DEF-C9FE092A3331}" name="Q2" dataDxfId="31">
      <calculatedColumnFormula>('--Quarterly_PL'!D30)*1</calculatedColumnFormula>
    </tableColumn>
    <tableColumn id="4" xr3:uid="{176ACE71-A863-4D7A-95D0-365D299E009A}" name="Q3" dataDxfId="30">
      <calculatedColumnFormula>('--Quarterly_PL'!E30)*1</calculatedColumnFormula>
    </tableColumn>
    <tableColumn id="5" xr3:uid="{E86FDC72-8986-4E66-921F-A6E7E0DFD430}" name="Q4" dataDxfId="29">
      <calculatedColumnFormula>('--Quarterly_PL'!F30)*1</calculatedColumnFormula>
    </tableColumn>
    <tableColumn id="6" xr3:uid="{8265D555-CBF9-41EC-BBB4-5D2FEF26BBA5}" name="FY 2024" dataDxfId="28">
      <calculatedColumnFormula>('--Quarterly_PL'!G30)*1</calculatedColumnFormula>
    </tableColumn>
    <tableColumn id="7" xr3:uid="{D7C2C178-C9BB-421C-865F-80374712B008}" name="FY 2023" dataDxfId="27">
      <calculatedColumnFormula>('--Quarterly_PL'!H30)*1</calculatedColumnFormula>
    </tableColumn>
    <tableColumn id="8" xr3:uid="{3E25A03B-1AC0-453A-8C93-A2BA1FE1CB54}" name="YoY $M" dataDxfId="26">
      <calculatedColumnFormula>Table9[[#This Row],[FY 2024]]-Table9[[#This Row],[FY 2023]]</calculatedColumnFormula>
    </tableColumn>
    <tableColumn id="9" xr3:uid="{CD37368F-B988-49C3-A54C-4D59094D7707}" name="YoY %" dataDxfId="25">
      <calculatedColumnFormula>'--Quarterly_PL'!J30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BE3B8B-F16B-44C9-A654-9BFF8382660D}" name="Table10" displayName="Table10" ref="A34:I36" totalsRowShown="0">
  <autoFilter ref="A34:I36" xr:uid="{E2BE3B8B-F16B-44C9-A654-9BFF8382660D}"/>
  <tableColumns count="9">
    <tableColumn id="1" xr3:uid="{BD3A966A-703C-48BF-B3DD-57B90C96A8CC}" name="NET INCOME"/>
    <tableColumn id="2" xr3:uid="{C03803FD-CA80-47BB-B70A-38A826747187}" name="Q1">
      <calculatedColumnFormula>'--Quarterly_PL'!C34</calculatedColumnFormula>
    </tableColumn>
    <tableColumn id="3" xr3:uid="{34D145D3-1D8E-41A0-AB8C-C787E21DCE2F}" name="Q2">
      <calculatedColumnFormula>'--Quarterly_PL'!D34</calculatedColumnFormula>
    </tableColumn>
    <tableColumn id="4" xr3:uid="{181CD843-B551-4E31-856C-084B35AEA1FF}" name="Q3">
      <calculatedColumnFormula>'--Quarterly_PL'!E34</calculatedColumnFormula>
    </tableColumn>
    <tableColumn id="5" xr3:uid="{3731B994-FBB0-4D28-B6CF-583761282CEE}" name="Q4">
      <calculatedColumnFormula>'--Quarterly_PL'!F34</calculatedColumnFormula>
    </tableColumn>
    <tableColumn id="6" xr3:uid="{03C5CFE6-CA9A-4683-85A2-B1ACFFA3B243}" name="FY 2024">
      <calculatedColumnFormula>'--Quarterly_PL'!G34</calculatedColumnFormula>
    </tableColumn>
    <tableColumn id="7" xr3:uid="{4559E7D4-42D8-489F-BA96-5FB043AEAF43}" name="FY 2023">
      <calculatedColumnFormula>'--Quarterly_PL'!H34</calculatedColumnFormula>
    </tableColumn>
    <tableColumn id="8" xr3:uid="{6F3AF035-7763-44E8-A17B-124CCBB18DD1}" name="YoY $M" dataDxfId="24">
      <calculatedColumnFormula>Table10[[#This Row],[FY 2024]]-Table10[[#This Row],[FY 2023]]</calculatedColumnFormula>
    </tableColumn>
    <tableColumn id="9" xr3:uid="{644120A6-F782-458E-8CB4-6F120C6C2DF9}" name="YoY %" dataDxfId="23">
      <calculatedColumnFormula>'--Quarterly_PL'!J34</calculatedColumn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40A958-F6E4-4C14-AD85-F3AEDCAD615D}" name="Table11" displayName="Table11" ref="A39:I40" totalsRowShown="0">
  <autoFilter ref="A39:I40" xr:uid="{6340A958-F6E4-4C14-AD85-F3AEDCAD615D}"/>
  <tableColumns count="9">
    <tableColumn id="1" xr3:uid="{904D358B-A792-441A-A8A8-9E25DFFB1B0B}" name="NON-GAAP EPS"/>
    <tableColumn id="2" xr3:uid="{BDD94E96-D6BD-4347-8D72-083656412D9C}" name="Q1" dataDxfId="22">
      <calculatedColumnFormula>'--Quarterly_PL'!C36</calculatedColumnFormula>
    </tableColumn>
    <tableColumn id="3" xr3:uid="{634392DF-726E-43B1-8DF6-30DDA304761D}" name="Q2" dataDxfId="21">
      <calculatedColumnFormula>'--Quarterly_PL'!D36</calculatedColumnFormula>
    </tableColumn>
    <tableColumn id="4" xr3:uid="{B11C085E-53F3-4A7F-9C6A-795B89B4DF89}" name="Q3" dataDxfId="20">
      <calculatedColumnFormula>'--Quarterly_PL'!E36</calculatedColumnFormula>
    </tableColumn>
    <tableColumn id="5" xr3:uid="{BEBC098D-4C0C-4276-99F6-2CBA617CAA6E}" name="Q4" dataDxfId="19">
      <calculatedColumnFormula>'--Quarterly_PL'!F36</calculatedColumnFormula>
    </tableColumn>
    <tableColumn id="6" xr3:uid="{16ABB26E-06F3-49CA-8204-35F9D2687799}" name="FY 2024" dataDxfId="18">
      <calculatedColumnFormula>'--Quarterly_PL'!G36</calculatedColumnFormula>
    </tableColumn>
    <tableColumn id="7" xr3:uid="{E4DE9D84-FBF9-4651-8428-99DACF777A03}" name="FY 2023" dataDxfId="17">
      <calculatedColumnFormula>'--Quarterly_PL'!H36</calculatedColumnFormula>
    </tableColumn>
    <tableColumn id="8" xr3:uid="{51590276-D5AA-43DF-B686-894D45970287}" name="YoY $M" dataDxfId="16">
      <calculatedColumnFormula>Table11[[#This Row],[FY 2024]]-Table11[[#This Row],[FY 2023]]</calculatedColumnFormula>
    </tableColumn>
    <tableColumn id="9" xr3:uid="{E1EF8C1A-71E5-471A-B03D-5658B507815B}" name="YoY %" dataDxfId="15">
      <calculatedColumnFormula>Table11[[#This Row],[YoY $M]]/Table11[[#This Row],[FY 2023]]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9ACBA00-9C09-41A1-AA3D-62A26C5EDFE1}" name="Table12" displayName="Table12" ref="A43:I44" totalsRowShown="0">
  <autoFilter ref="A43:I44" xr:uid="{79ACBA00-9C09-41A1-AA3D-62A26C5EDFE1}"/>
  <tableColumns count="9">
    <tableColumn id="1" xr3:uid="{09C5C12D-B9F9-4D39-AE91-421C47C61038}" name="CASH FLOW" dataDxfId="14"/>
    <tableColumn id="2" xr3:uid="{20EB060F-354F-4EDD-9073-99E4DA86EC4C}" name="Q1" dataDxfId="13">
      <calculatedColumnFormula>'--Quarterly_PL'!C37</calculatedColumnFormula>
    </tableColumn>
    <tableColumn id="3" xr3:uid="{66071A34-5351-4058-B62D-C183399008A1}" name="Q2" dataDxfId="12">
      <calculatedColumnFormula>'--Quarterly_PL'!D37</calculatedColumnFormula>
    </tableColumn>
    <tableColumn id="4" xr3:uid="{541E2651-3466-4255-A70F-245B8F734B81}" name="Q3" dataDxfId="11">
      <calculatedColumnFormula>'--Quarterly_PL'!E37</calculatedColumnFormula>
    </tableColumn>
    <tableColumn id="5" xr3:uid="{E9B1B19E-C7F9-4535-8FE6-0630AAE1E4DE}" name="Q4" dataDxfId="10">
      <calculatedColumnFormula>'--Quarterly_PL'!F37</calculatedColumnFormula>
    </tableColumn>
    <tableColumn id="6" xr3:uid="{D738BB11-2109-489C-9149-F772DB3FB5F3}" name="FY 2024" dataDxfId="9">
      <calculatedColumnFormula>'--Quarterly_PL'!G37</calculatedColumnFormula>
    </tableColumn>
    <tableColumn id="7" xr3:uid="{5BF46899-0D23-4B66-95D0-485231CB6C1A}" name="FY 2023" dataDxfId="8">
      <calculatedColumnFormula>'--Quarterly_PL'!H37</calculatedColumnFormula>
    </tableColumn>
    <tableColumn id="8" xr3:uid="{96E247EB-1883-47AC-91B7-2B6D06A3B8EB}" name="YoY $M" dataDxfId="7">
      <calculatedColumnFormula>'--Quarterly_PL'!I37</calculatedColumnFormula>
    </tableColumn>
    <tableColumn id="9" xr3:uid="{5B59D33C-CF2E-47BC-A0DA-4A621095DA9F}" name="YoY %" dataDxfId="6">
      <calculatedColumnFormula>'--Quarterly_PL'!J37</calculatedColumnFormula>
    </tableColumn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F051F3-4D92-42FC-8CB1-F92F7424AA1F}" name="Table16" displayName="Table16" ref="A47:C51" totalsRowShown="0">
  <autoFilter ref="A47:C51" xr:uid="{73F051F3-4D92-42FC-8CB1-F92F7424AA1F}"/>
  <tableColumns count="3">
    <tableColumn id="1" xr3:uid="{997F56B4-1FC9-4C22-9A05-0C17A327282D}" name="QUARTER "/>
    <tableColumn id="2" xr3:uid="{70F2F0AB-EFA1-4F52-910B-6E7687A1E98E}" name="REVENUE" dataDxfId="5"/>
    <tableColumn id="3" xr3:uid="{A98431ED-7F9D-481D-8D82-0935423CEFB0}" name="EXPENSES" dataDxfId="4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092E78A-21AA-4C27-A5C6-60FE88894056}" name="Table17" displayName="Table17" ref="A53:E55" totalsRowShown="0">
  <autoFilter ref="A53:E55" xr:uid="{5092E78A-21AA-4C27-A5C6-60FE88894056}"/>
  <tableColumns count="5">
    <tableColumn id="1" xr3:uid="{8EA38463-3C01-489E-996D-9DEC6FD75279}" name="NET INCOME VS OPERATING INCOME"/>
    <tableColumn id="2" xr3:uid="{A2369B55-A2DF-4A4C-8E10-DA508AA82D4D}" name="Q1" dataDxfId="3">
      <calculatedColumnFormula>B29</calculatedColumnFormula>
    </tableColumn>
    <tableColumn id="3" xr3:uid="{5CB160F8-1F62-4A6C-ACFD-46C0EFB53409}" name="Q2" dataDxfId="2">
      <calculatedColumnFormula>C29</calculatedColumnFormula>
    </tableColumn>
    <tableColumn id="4" xr3:uid="{2B4C138C-9B37-4C8C-B87B-F4E7474C2B7D}" name="Q3" dataDxfId="1">
      <calculatedColumnFormula>D29</calculatedColumnFormula>
    </tableColumn>
    <tableColumn id="5" xr3:uid="{B0385E82-705A-4247-B86A-D7DE5CD96BBC}" name="Q4" dataDxfId="0">
      <calculatedColumnFormula>E29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676A72"/>
      </a:dk1>
      <a:lt1>
        <a:sysClr val="window" lastClr="FFFFFF"/>
      </a:lt1>
      <a:dk2>
        <a:srgbClr val="BFBFBF"/>
      </a:dk2>
      <a:lt2>
        <a:srgbClr val="D8D9DC"/>
      </a:lt2>
      <a:accent1>
        <a:srgbClr val="464646"/>
      </a:accent1>
      <a:accent2>
        <a:srgbClr val="000000"/>
      </a:accent2>
      <a:accent3>
        <a:srgbClr val="B8A9EC"/>
      </a:accent3>
      <a:accent4>
        <a:srgbClr val="D8D9DC"/>
      </a:accent4>
      <a:accent5>
        <a:srgbClr val="333300"/>
      </a:accent5>
      <a:accent6>
        <a:srgbClr val="7F7F7F"/>
      </a:accent6>
      <a:hlink>
        <a:srgbClr val="464646"/>
      </a:hlink>
      <a:folHlink>
        <a:srgbClr val="3F3F3F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DB95-7D2D-4887-AED2-EB2C470F5386}">
  <dimension ref="A1:P55"/>
  <sheetViews>
    <sheetView tabSelected="1" zoomScale="96" zoomScaleNormal="96" workbookViewId="0">
      <selection activeCell="K22" sqref="K22"/>
    </sheetView>
  </sheetViews>
  <sheetFormatPr defaultRowHeight="15" x14ac:dyDescent="0.25"/>
  <cols>
    <col min="1" max="1" width="34.85546875" customWidth="1"/>
    <col min="2" max="2" width="11.28515625" customWidth="1"/>
    <col min="3" max="3" width="12" customWidth="1"/>
    <col min="4" max="5" width="10.7109375" bestFit="1" customWidth="1"/>
    <col min="6" max="7" width="11.7109375" bestFit="1" customWidth="1"/>
    <col min="8" max="8" width="11.42578125" bestFit="1" customWidth="1"/>
    <col min="9" max="9" width="13" style="46" bestFit="1" customWidth="1"/>
  </cols>
  <sheetData>
    <row r="1" spans="1:12" ht="15.75" thickBot="1" x14ac:dyDescent="0.3">
      <c r="A1" s="55" t="s">
        <v>228</v>
      </c>
      <c r="B1" s="56" t="s">
        <v>229</v>
      </c>
      <c r="C1" s="56" t="s">
        <v>230</v>
      </c>
      <c r="D1" s="56" t="s">
        <v>231</v>
      </c>
      <c r="E1" s="56" t="s">
        <v>232</v>
      </c>
      <c r="F1" s="56" t="s">
        <v>8</v>
      </c>
      <c r="G1" s="56" t="s">
        <v>9</v>
      </c>
      <c r="H1" s="56" t="s">
        <v>10</v>
      </c>
      <c r="I1" s="57" t="s">
        <v>11</v>
      </c>
      <c r="J1" s="67" t="s">
        <v>247</v>
      </c>
    </row>
    <row r="2" spans="1:12" ht="15.75" thickTop="1" x14ac:dyDescent="0.25">
      <c r="A2" s="58" t="s">
        <v>233</v>
      </c>
      <c r="B2" s="59">
        <f>'--Quarterly_PL'!C5</f>
        <v>5902</v>
      </c>
      <c r="C2" s="59">
        <f>'--Quarterly_PL'!D5</f>
        <v>6740</v>
      </c>
      <c r="D2" s="59">
        <f>'--Quarterly_PL'!E5</f>
        <v>6520</v>
      </c>
      <c r="E2" s="59">
        <f>'--Quarterly_PL'!F5</f>
        <v>7116</v>
      </c>
      <c r="F2" s="59">
        <f>'--Quarterly_PL'!G5</f>
        <v>26278</v>
      </c>
      <c r="G2" s="59">
        <f>'--Quarterly_PL'!H5</f>
        <v>24459</v>
      </c>
      <c r="H2" s="59">
        <f>'--Quarterly_PL'!I5</f>
        <v>1819</v>
      </c>
      <c r="I2" s="60">
        <f>'--Quarterly_PL'!J5</f>
        <v>7.4369352794472376E-2</v>
      </c>
      <c r="J2" s="68">
        <f>F2/$F$6</f>
        <v>0.41875288830812868</v>
      </c>
    </row>
    <row r="3" spans="1:12" x14ac:dyDescent="0.25">
      <c r="A3" s="61" t="s">
        <v>234</v>
      </c>
      <c r="B3" s="62">
        <f>'--Quarterly_PL'!C6</f>
        <v>5214</v>
      </c>
      <c r="C3" s="62">
        <f>'--Quarterly_PL'!D6</f>
        <v>5200</v>
      </c>
      <c r="D3" s="62">
        <f>'--Quarterly_PL'!E6</f>
        <v>5150</v>
      </c>
      <c r="E3" s="62">
        <f>'--Quarterly_PL'!F6</f>
        <v>5336</v>
      </c>
      <c r="F3" s="62">
        <f>'--Quarterly_PL'!G6</f>
        <v>20900</v>
      </c>
      <c r="G3" s="62">
        <f>'--Quarterly_PL'!H6</f>
        <v>21072</v>
      </c>
      <c r="H3" s="62">
        <f>'--Quarterly_PL'!I6</f>
        <v>-172</v>
      </c>
      <c r="I3" s="63">
        <f>'--Quarterly_PL'!J6</f>
        <v>-8.162490508731966E-3</v>
      </c>
      <c r="J3" s="69">
        <f>Analysis!$F3/$F$6</f>
        <v>0.33305180628814557</v>
      </c>
    </row>
    <row r="4" spans="1:12" x14ac:dyDescent="0.25">
      <c r="A4" s="64" t="s">
        <v>235</v>
      </c>
      <c r="B4" s="65">
        <f>'--Quarterly_PL'!C7</f>
        <v>2955</v>
      </c>
      <c r="C4" s="65">
        <f>'--Quarterly_PL'!D7</f>
        <v>3649</v>
      </c>
      <c r="D4" s="65">
        <f>'--Quarterly_PL'!E7</f>
        <v>3043</v>
      </c>
      <c r="E4" s="65">
        <f>'--Quarterly_PL'!F7</f>
        <v>4148</v>
      </c>
      <c r="F4" s="65">
        <f>'--Quarterly_PL'!G7</f>
        <v>13795</v>
      </c>
      <c r="G4" s="65">
        <f>'--Quarterly_PL'!H7</f>
        <v>14228</v>
      </c>
      <c r="H4" s="65">
        <f>'--Quarterly_PL'!I7</f>
        <v>-433</v>
      </c>
      <c r="I4" s="66">
        <f>'--Quarterly_PL'!J7</f>
        <v>-3.0432949114422268E-2</v>
      </c>
      <c r="J4" s="70">
        <f>Analysis!$F4/$F$6</f>
        <v>0.21983012764329993</v>
      </c>
    </row>
    <row r="5" spans="1:12" x14ac:dyDescent="0.25">
      <c r="A5" s="61" t="s">
        <v>21</v>
      </c>
      <c r="B5" s="62">
        <f>'--Quarterly_PL'!C8</f>
        <v>389</v>
      </c>
      <c r="C5" s="62">
        <f>'--Quarterly_PL'!D8</f>
        <v>211</v>
      </c>
      <c r="D5" s="62">
        <f>'--Quarterly_PL'!E8</f>
        <v>257</v>
      </c>
      <c r="E5" s="62">
        <f>'--Quarterly_PL'!F8</f>
        <v>923</v>
      </c>
      <c r="F5" s="62">
        <f>'--Quarterly_PL'!G8</f>
        <v>1780</v>
      </c>
      <c r="G5" s="62">
        <f>'--Quarterly_PL'!H8</f>
        <v>2101</v>
      </c>
      <c r="H5" s="62">
        <f>'--Quarterly_PL'!I8</f>
        <v>-321</v>
      </c>
      <c r="I5" s="63">
        <f>'--Quarterly_PL'!J8</f>
        <v>-0.15278438838648262</v>
      </c>
      <c r="J5" s="69">
        <f>Analysis!$F5/$F$6</f>
        <v>2.8365177760425797E-2</v>
      </c>
    </row>
    <row r="6" spans="1:12" x14ac:dyDescent="0.25">
      <c r="A6" s="64" t="s">
        <v>23</v>
      </c>
      <c r="B6" s="65">
        <f t="shared" ref="B6:H6" si="0">SUM(B2:B5)</f>
        <v>14460</v>
      </c>
      <c r="C6" s="65">
        <f t="shared" si="0"/>
        <v>15800</v>
      </c>
      <c r="D6" s="65">
        <f t="shared" si="0"/>
        <v>14970</v>
      </c>
      <c r="E6" s="65">
        <f t="shared" si="0"/>
        <v>17523</v>
      </c>
      <c r="F6" s="65">
        <f t="shared" si="0"/>
        <v>62753</v>
      </c>
      <c r="G6" s="65">
        <f t="shared" si="0"/>
        <v>61860</v>
      </c>
      <c r="H6" s="65">
        <f t="shared" si="0"/>
        <v>893</v>
      </c>
      <c r="I6" s="66">
        <f>'--Quarterly_PL'!J9</f>
        <v>1.4435822825735531E-2</v>
      </c>
      <c r="J6" s="70">
        <f>SUM(J2:J5)</f>
        <v>0.99999999999999989</v>
      </c>
      <c r="L6" s="47"/>
    </row>
    <row r="7" spans="1:12" x14ac:dyDescent="0.25">
      <c r="B7" s="49"/>
      <c r="C7" s="49"/>
      <c r="D7" s="49"/>
      <c r="E7" s="49"/>
      <c r="F7" s="49"/>
      <c r="G7" s="49"/>
      <c r="H7" s="49"/>
      <c r="L7" s="47"/>
    </row>
    <row r="9" spans="1:12" x14ac:dyDescent="0.25">
      <c r="A9" t="s">
        <v>240</v>
      </c>
      <c r="B9" s="50" t="s">
        <v>229</v>
      </c>
      <c r="C9" s="50" t="s">
        <v>230</v>
      </c>
      <c r="D9" s="50" t="s">
        <v>231</v>
      </c>
      <c r="E9" s="50" t="s">
        <v>232</v>
      </c>
      <c r="F9" s="50" t="s">
        <v>8</v>
      </c>
      <c r="G9" s="50" t="s">
        <v>9</v>
      </c>
      <c r="H9" s="50" t="s">
        <v>10</v>
      </c>
      <c r="I9" s="48" t="s">
        <v>11</v>
      </c>
    </row>
    <row r="10" spans="1:12" x14ac:dyDescent="0.25">
      <c r="A10" t="s">
        <v>26</v>
      </c>
      <c r="B10" s="50">
        <f>'--Quarterly_PL'!C12</f>
        <v>1052</v>
      </c>
      <c r="C10" s="50">
        <f>'--Quarterly_PL'!D12</f>
        <v>1145</v>
      </c>
      <c r="D10" s="50">
        <f>'--Quarterly_PL'!E12</f>
        <v>1108</v>
      </c>
      <c r="E10" s="50">
        <f>'--Quarterly_PL'!F12</f>
        <v>1210</v>
      </c>
      <c r="F10" s="50">
        <f>'--Quarterly_PL'!G12</f>
        <v>4515</v>
      </c>
      <c r="G10" s="50">
        <f>'--Quarterly_PL'!H12</f>
        <v>4622</v>
      </c>
      <c r="H10" s="50">
        <f>'--Quarterly_PL'!I12</f>
        <v>-107</v>
      </c>
      <c r="I10" s="47">
        <f>'--Quarterly_PL'!J12</f>
        <v>-2.3150151449588922E-2</v>
      </c>
    </row>
    <row r="11" spans="1:12" x14ac:dyDescent="0.25">
      <c r="A11" t="s">
        <v>29</v>
      </c>
      <c r="B11" s="50">
        <f>'--Quarterly_PL'!C13</f>
        <v>3809</v>
      </c>
      <c r="C11" s="50">
        <f>'--Quarterly_PL'!D13</f>
        <v>3796</v>
      </c>
      <c r="D11" s="50">
        <f>'--Quarterly_PL'!E13</f>
        <v>3762</v>
      </c>
      <c r="E11" s="50">
        <f>'--Quarterly_PL'!F13</f>
        <v>3895</v>
      </c>
      <c r="F11" s="50">
        <f>'--Quarterly_PL'!G13</f>
        <v>15262</v>
      </c>
      <c r="G11" s="50">
        <f>'--Quarterly_PL'!H13</f>
        <v>15505</v>
      </c>
      <c r="H11" s="50">
        <f>'--Quarterly_PL'!I13</f>
        <v>-243</v>
      </c>
      <c r="I11" s="47">
        <f>'--Quarterly_PL'!J13</f>
        <v>-1.5672363753627863E-2</v>
      </c>
    </row>
    <row r="12" spans="1:12" x14ac:dyDescent="0.25">
      <c r="A12" t="s">
        <v>31</v>
      </c>
      <c r="B12" s="50">
        <f>'--Quarterly_PL'!C14</f>
        <v>1655</v>
      </c>
      <c r="C12" s="50">
        <f>'--Quarterly_PL'!D14</f>
        <v>1606</v>
      </c>
      <c r="D12" s="50">
        <f>'--Quarterly_PL'!E14</f>
        <v>1694</v>
      </c>
      <c r="E12" s="50">
        <f>'--Quarterly_PL'!F14</f>
        <v>1838</v>
      </c>
      <c r="F12" s="50">
        <f>'--Quarterly_PL'!G14</f>
        <v>6793</v>
      </c>
      <c r="G12" s="50">
        <f>'--Quarterly_PL'!H14</f>
        <v>6969</v>
      </c>
      <c r="H12" s="50">
        <f>'--Quarterly_PL'!I14</f>
        <v>-176</v>
      </c>
      <c r="I12" s="47">
        <f>'--Quarterly_PL'!J14</f>
        <v>-2.5254699382981777E-2</v>
      </c>
    </row>
    <row r="13" spans="1:12" x14ac:dyDescent="0.25">
      <c r="A13" t="s">
        <v>33</v>
      </c>
      <c r="B13" s="50">
        <f>'--Quarterly_PL'!C15</f>
        <v>74</v>
      </c>
      <c r="C13" s="50">
        <f>'--Quarterly_PL'!D15</f>
        <v>70</v>
      </c>
      <c r="D13" s="50">
        <f>'--Quarterly_PL'!E15</f>
        <v>68</v>
      </c>
      <c r="E13" s="50">
        <f>'--Quarterly_PL'!F15</f>
        <v>68</v>
      </c>
      <c r="F13" s="50">
        <f>'--Quarterly_PL'!G15</f>
        <v>280</v>
      </c>
      <c r="G13" s="50">
        <f>'--Quarterly_PL'!H15</f>
        <v>303</v>
      </c>
      <c r="H13" s="50">
        <f>'--Quarterly_PL'!I15</f>
        <v>-23</v>
      </c>
      <c r="I13" s="47">
        <f>'--Quarterly_PL'!J15</f>
        <v>-7.590759075907591E-2</v>
      </c>
    </row>
    <row r="14" spans="1:12" x14ac:dyDescent="0.25">
      <c r="A14" t="s">
        <v>34</v>
      </c>
      <c r="B14" s="50">
        <f>'--Quarterly_PL'!C16</f>
        <v>6590</v>
      </c>
      <c r="C14" s="50">
        <f>'--Quarterly_PL'!D16</f>
        <v>6617</v>
      </c>
      <c r="D14" s="50">
        <f>'--Quarterly_PL'!E16</f>
        <v>6632</v>
      </c>
      <c r="E14" s="50">
        <f>'--Quarterly_PL'!F16</f>
        <v>7011</v>
      </c>
      <c r="F14" s="50">
        <f>'--Quarterly_PL'!G16</f>
        <v>26850</v>
      </c>
      <c r="G14" s="50">
        <f>'--Quarterly_PL'!H16</f>
        <v>27399</v>
      </c>
      <c r="H14" s="50">
        <f>'--Quarterly_PL'!I16</f>
        <v>-549</v>
      </c>
      <c r="I14" s="47">
        <f>'--Quarterly_PL'!J16</f>
        <v>-2.003722763604511E-2</v>
      </c>
    </row>
    <row r="17" spans="1:16" x14ac:dyDescent="0.25">
      <c r="A17" t="s">
        <v>236</v>
      </c>
      <c r="B17" t="s">
        <v>229</v>
      </c>
      <c r="C17" t="s">
        <v>230</v>
      </c>
      <c r="D17" t="s">
        <v>231</v>
      </c>
      <c r="E17" t="s">
        <v>232</v>
      </c>
      <c r="F17" t="s">
        <v>8</v>
      </c>
      <c r="G17" t="s">
        <v>9</v>
      </c>
      <c r="H17" t="s">
        <v>10</v>
      </c>
      <c r="I17" s="48" t="s">
        <v>11</v>
      </c>
      <c r="K17" t="s">
        <v>227</v>
      </c>
    </row>
    <row r="18" spans="1:16" x14ac:dyDescent="0.25">
      <c r="A18" t="s">
        <v>237</v>
      </c>
      <c r="B18" s="50">
        <f>('--Quarterly_PL'!C19)*1</f>
        <v>7870</v>
      </c>
      <c r="C18" s="50">
        <f>('--Quarterly_PL'!D19)*1</f>
        <v>9183</v>
      </c>
      <c r="D18" s="50">
        <f>('--Quarterly_PL'!E19)*1</f>
        <v>8338</v>
      </c>
      <c r="E18" s="50">
        <f>('--Quarterly_PL'!F19)*1</f>
        <v>10512</v>
      </c>
      <c r="F18" s="50">
        <f>('--Quarterly_PL'!G19)*1</f>
        <v>35903</v>
      </c>
      <c r="G18" s="50">
        <f>('--Quarterly_PL'!H19)*1</f>
        <v>34461</v>
      </c>
      <c r="H18" s="50">
        <f>Table7[[#This Row],[FY 2024]]-Table7[[#This Row],[FY 2023]]</f>
        <v>1442</v>
      </c>
      <c r="I18" s="47">
        <f>'--Quarterly_PL'!J19</f>
        <v>4.1844403818809668E-2</v>
      </c>
    </row>
    <row r="19" spans="1:16" x14ac:dyDescent="0.25">
      <c r="A19" t="s">
        <v>238</v>
      </c>
      <c r="B19" s="47">
        <f>('--Quarterly_PL'!C20)*1</f>
        <v>0.54400000000000004</v>
      </c>
      <c r="C19" s="47">
        <f>('--Quarterly_PL'!D20)*1</f>
        <v>0.58099999999999996</v>
      </c>
      <c r="D19" s="47">
        <f>('--Quarterly_PL'!E20)*1</f>
        <v>0.55700000000000005</v>
      </c>
      <c r="E19" s="47">
        <f>('--Quarterly_PL'!F20)*1</f>
        <v>0.6</v>
      </c>
      <c r="F19" s="47">
        <f>('--Quarterly_PL'!G20)*1</f>
        <v>0.57199999999999995</v>
      </c>
      <c r="G19" s="47">
        <f>('--Quarterly_PL'!H20)*1</f>
        <v>0.55700000000000005</v>
      </c>
      <c r="H19" s="47">
        <f>Table7[[#This Row],[FY 2024]]-Table7[[#This Row],[FY 2023]]</f>
        <v>1.4999999999999902E-2</v>
      </c>
      <c r="I19" s="47">
        <f>'--Quarterly_PL'!J20</f>
        <v>0</v>
      </c>
      <c r="M19" s="51"/>
    </row>
    <row r="20" spans="1:16" x14ac:dyDescent="0.25">
      <c r="P20">
        <v>1</v>
      </c>
    </row>
    <row r="21" spans="1:16" x14ac:dyDescent="0.25">
      <c r="A21" t="s">
        <v>239</v>
      </c>
      <c r="B21" t="s">
        <v>229</v>
      </c>
      <c r="C21" t="s">
        <v>230</v>
      </c>
      <c r="D21" t="s">
        <v>231</v>
      </c>
      <c r="E21" t="s">
        <v>232</v>
      </c>
      <c r="F21" t="s">
        <v>8</v>
      </c>
      <c r="G21" t="s">
        <v>9</v>
      </c>
      <c r="H21" t="s">
        <v>10</v>
      </c>
      <c r="I21" s="48" t="s">
        <v>11</v>
      </c>
    </row>
    <row r="22" spans="1:16" x14ac:dyDescent="0.25">
      <c r="A22" t="s">
        <v>46</v>
      </c>
      <c r="B22" s="50">
        <f>'--Quarterly_PL'!C23</f>
        <v>1673</v>
      </c>
      <c r="C22" s="50">
        <f>'--Quarterly_PL'!D23</f>
        <v>1682</v>
      </c>
      <c r="D22" s="50">
        <f>'--Quarterly_PL'!E23</f>
        <v>1700</v>
      </c>
      <c r="E22" s="50">
        <f>'--Quarterly_PL'!F23</f>
        <v>1752</v>
      </c>
      <c r="F22" s="50">
        <f>'--Quarterly_PL'!G23</f>
        <v>6807</v>
      </c>
      <c r="G22" s="50">
        <f>'--Quarterly_PL'!H23</f>
        <v>6639</v>
      </c>
      <c r="H22" s="50">
        <f>'--Quarterly_PL'!I23</f>
        <v>168</v>
      </c>
      <c r="I22" s="47">
        <f>'--Quarterly_PL'!J23</f>
        <v>2.5305015815634886E-2</v>
      </c>
    </row>
    <row r="23" spans="1:16" x14ac:dyDescent="0.25">
      <c r="A23" t="s">
        <v>49</v>
      </c>
      <c r="B23" s="50">
        <f>'--Quarterly_PL'!C24</f>
        <v>4098</v>
      </c>
      <c r="C23" s="50">
        <f>'--Quarterly_PL'!D24</f>
        <v>3979</v>
      </c>
      <c r="D23" s="50">
        <f>'--Quarterly_PL'!E24</f>
        <v>3830</v>
      </c>
      <c r="E23" s="50">
        <f>'--Quarterly_PL'!F24</f>
        <v>4261</v>
      </c>
      <c r="F23" s="50">
        <f>'--Quarterly_PL'!G24</f>
        <v>16168</v>
      </c>
      <c r="G23" s="50">
        <f>'--Quarterly_PL'!H24</f>
        <v>15603</v>
      </c>
      <c r="H23" s="50">
        <f>'--Quarterly_PL'!I24</f>
        <v>565</v>
      </c>
      <c r="I23" s="47">
        <f>'--Quarterly_PL'!J24</f>
        <v>3.6210985066974302E-2</v>
      </c>
    </row>
    <row r="24" spans="1:16" x14ac:dyDescent="0.25">
      <c r="A24" t="s">
        <v>51</v>
      </c>
      <c r="B24" s="50">
        <f>'--Quarterly_PL'!C25</f>
        <v>0</v>
      </c>
      <c r="C24" s="50">
        <f>'--Quarterly_PL'!D25</f>
        <v>0</v>
      </c>
      <c r="D24" s="50">
        <f>'--Quarterly_PL'!E25</f>
        <v>3100</v>
      </c>
      <c r="E24" s="50">
        <f>'--Quarterly_PL'!F25</f>
        <v>0</v>
      </c>
      <c r="F24" s="50">
        <f>'--Quarterly_PL'!G25</f>
        <v>3100</v>
      </c>
      <c r="G24" s="50">
        <f>'--Quarterly_PL'!H25</f>
        <v>0</v>
      </c>
      <c r="H24" s="50">
        <f>'--Quarterly_PL'!I25</f>
        <v>3100</v>
      </c>
      <c r="I24" s="47" t="str">
        <f>'--Quarterly_PL'!J25</f>
        <v>NM</v>
      </c>
    </row>
    <row r="25" spans="1:16" x14ac:dyDescent="0.25">
      <c r="A25" t="s">
        <v>53</v>
      </c>
      <c r="B25" s="50">
        <f>'--Quarterly_PL'!C26</f>
        <v>195</v>
      </c>
      <c r="C25" s="50">
        <f>'--Quarterly_PL'!D26</f>
        <v>183</v>
      </c>
      <c r="D25" s="50">
        <f>'--Quarterly_PL'!E26</f>
        <v>210</v>
      </c>
      <c r="E25" s="50">
        <f>'--Quarterly_PL'!F26</f>
        <v>0</v>
      </c>
      <c r="F25" s="50">
        <f>'--Quarterly_PL'!G26</f>
        <v>2779</v>
      </c>
      <c r="G25" s="50">
        <f>'--Quarterly_PL'!H26</f>
        <v>3368</v>
      </c>
      <c r="H25" s="50">
        <f>'--Quarterly_PL'!I26</f>
        <v>-589</v>
      </c>
      <c r="I25" s="47">
        <f>'--Quarterly_PL'!J26</f>
        <v>-0.1748812351543943</v>
      </c>
    </row>
    <row r="26" spans="1:16" x14ac:dyDescent="0.25">
      <c r="A26" t="s">
        <v>55</v>
      </c>
      <c r="B26" s="50">
        <f>'--Quarterly_PL'!C27</f>
        <v>5966</v>
      </c>
      <c r="C26" s="50">
        <f>'--Quarterly_PL'!D27</f>
        <v>5844</v>
      </c>
      <c r="D26" s="50">
        <f>'--Quarterly_PL'!E27</f>
        <v>8840</v>
      </c>
      <c r="E26" s="50">
        <f>'--Quarterly_PL'!F27</f>
        <v>6004</v>
      </c>
      <c r="F26" s="50">
        <f>'--Quarterly_PL'!G27</f>
        <v>25854</v>
      </c>
      <c r="G26" s="50">
        <f>'--Quarterly_PL'!H27</f>
        <v>25610</v>
      </c>
      <c r="H26" s="50">
        <f>'--Quarterly_PL'!I27</f>
        <v>244</v>
      </c>
      <c r="I26" s="47">
        <f>'--Quarterly_PL'!J27</f>
        <v>9.5275283092541973E-3</v>
      </c>
    </row>
    <row r="27" spans="1:16" x14ac:dyDescent="0.25">
      <c r="I27"/>
    </row>
    <row r="28" spans="1:16" x14ac:dyDescent="0.25">
      <c r="I28"/>
    </row>
    <row r="29" spans="1:16" x14ac:dyDescent="0.25">
      <c r="A29" t="s">
        <v>241</v>
      </c>
      <c r="B29" s="49" t="s">
        <v>229</v>
      </c>
      <c r="C29" s="49" t="s">
        <v>230</v>
      </c>
      <c r="D29" s="49" t="s">
        <v>231</v>
      </c>
      <c r="E29" s="49" t="s">
        <v>232</v>
      </c>
      <c r="F29" s="49" t="s">
        <v>8</v>
      </c>
      <c r="G29" s="49" t="s">
        <v>9</v>
      </c>
      <c r="H29" s="49" t="s">
        <v>10</v>
      </c>
      <c r="I29" s="48" t="s">
        <v>11</v>
      </c>
    </row>
    <row r="30" spans="1:16" x14ac:dyDescent="0.25">
      <c r="A30" t="s">
        <v>58</v>
      </c>
      <c r="B30" s="50">
        <f>('--Quarterly_PL'!C30)*1</f>
        <v>1904</v>
      </c>
      <c r="C30" s="50">
        <f>('--Quarterly_PL'!D30)*1</f>
        <v>3339</v>
      </c>
      <c r="D30" s="50">
        <f>('--Quarterly_PL'!E30)*1</f>
        <v>-502</v>
      </c>
      <c r="E30" s="50">
        <f>('--Quarterly_PL'!F30)*1</f>
        <v>4508</v>
      </c>
      <c r="F30" s="50">
        <f>('--Quarterly_PL'!G30)*1</f>
        <v>10049</v>
      </c>
      <c r="G30" s="50">
        <f>('--Quarterly_PL'!H30)*1</f>
        <v>8851</v>
      </c>
      <c r="H30" s="50">
        <f>Table9[[#This Row],[FY 2024]]-Table9[[#This Row],[FY 2023]]</f>
        <v>1198</v>
      </c>
      <c r="I30" s="47">
        <f>'--Quarterly_PL'!J30</f>
        <v>0.13535193763416564</v>
      </c>
    </row>
    <row r="31" spans="1:16" x14ac:dyDescent="0.25">
      <c r="A31" t="s">
        <v>61</v>
      </c>
      <c r="B31" s="47">
        <f>('--Quarterly_PL'!C31)*1</f>
        <v>0.13200000000000001</v>
      </c>
      <c r="C31" s="47">
        <f>('--Quarterly_PL'!D31)*1</f>
        <v>0.21099999999999999</v>
      </c>
      <c r="D31" s="47">
        <f>('--Quarterly_PL'!E31)*1</f>
        <v>-3.4000000000000002E-2</v>
      </c>
      <c r="E31" s="47">
        <f>('--Quarterly_PL'!F31)*1</f>
        <v>0.25700000000000001</v>
      </c>
      <c r="F31" s="47">
        <f>('--Quarterly_PL'!G31)*1</f>
        <v>0.16</v>
      </c>
      <c r="G31" s="47">
        <f>('--Quarterly_PL'!H31)*1</f>
        <v>0.14299999999999999</v>
      </c>
      <c r="H31" s="47">
        <f>Table9[[#This Row],[FY 2024]]-Table9[[#This Row],[FY 2023]]</f>
        <v>1.7000000000000015E-2</v>
      </c>
      <c r="I31" s="47">
        <f>'--Quarterly_PL'!J31</f>
        <v>0</v>
      </c>
    </row>
    <row r="32" spans="1:16" x14ac:dyDescent="0.25">
      <c r="I32"/>
    </row>
    <row r="33" spans="1:9" x14ac:dyDescent="0.25">
      <c r="I33"/>
    </row>
    <row r="34" spans="1:9" x14ac:dyDescent="0.25">
      <c r="A34" t="s">
        <v>73</v>
      </c>
      <c r="B34" s="50" t="s">
        <v>229</v>
      </c>
      <c r="C34" s="50" t="s">
        <v>230</v>
      </c>
      <c r="D34" s="50" t="s">
        <v>231</v>
      </c>
      <c r="E34" s="50" t="s">
        <v>232</v>
      </c>
      <c r="F34" s="50" t="s">
        <v>8</v>
      </c>
      <c r="G34" s="50" t="s">
        <v>9</v>
      </c>
      <c r="H34" s="50" t="s">
        <v>10</v>
      </c>
      <c r="I34" s="48" t="s">
        <v>11</v>
      </c>
    </row>
    <row r="35" spans="1:9" x14ac:dyDescent="0.25">
      <c r="A35" t="s">
        <v>73</v>
      </c>
      <c r="B35" s="50">
        <f>'--Quarterly_PL'!C34</f>
        <v>878</v>
      </c>
      <c r="C35" s="50">
        <f>'--Quarterly_PL'!D34</f>
        <v>2591</v>
      </c>
      <c r="D35" s="50">
        <f>'--Quarterly_PL'!E34</f>
        <v>-308</v>
      </c>
      <c r="E35" s="50">
        <f>'--Quarterly_PL'!F34</f>
        <v>2862</v>
      </c>
      <c r="F35" s="50">
        <f>'--Quarterly_PL'!G34</f>
        <v>6023</v>
      </c>
      <c r="G35" s="50">
        <f>'--Quarterly_PL'!H34</f>
        <v>7502</v>
      </c>
      <c r="H35" s="50">
        <f>Table10[[#This Row],[FY 2024]]-Table10[[#This Row],[FY 2023]]</f>
        <v>-1479</v>
      </c>
      <c r="I35" s="47">
        <f>'--Quarterly_PL'!J34</f>
        <v>-0.19714742735270593</v>
      </c>
    </row>
    <row r="36" spans="1:9" x14ac:dyDescent="0.25">
      <c r="A36" t="s">
        <v>75</v>
      </c>
      <c r="B36" t="str">
        <f>'--Quarterly_PL'!C35</f>
        <v>6.1%</v>
      </c>
      <c r="C36" t="str">
        <f>'--Quarterly_PL'!D35</f>
        <v>16.4%</v>
      </c>
      <c r="D36" t="str">
        <f>'--Quarterly_PL'!E35</f>
        <v>-2.1%</v>
      </c>
      <c r="E36" t="str">
        <f>'--Quarterly_PL'!F35</f>
        <v>16.3%</v>
      </c>
      <c r="F36" t="str">
        <f>'--Quarterly_PL'!G35</f>
        <v>9.6%</v>
      </c>
      <c r="G36" t="str">
        <f>'--Quarterly_PL'!H35</f>
        <v>12.1%</v>
      </c>
      <c r="H36" s="47">
        <f>Table10[[#This Row],[FY 2024]]-Table10[[#This Row],[FY 2023]]</f>
        <v>-2.4999999999999994E-2</v>
      </c>
      <c r="I36" s="47">
        <f>'--Quarterly_PL'!J35</f>
        <v>0</v>
      </c>
    </row>
    <row r="37" spans="1:9" x14ac:dyDescent="0.25">
      <c r="I37"/>
    </row>
    <row r="39" spans="1:9" x14ac:dyDescent="0.25">
      <c r="A39" t="s">
        <v>242</v>
      </c>
      <c r="B39" t="s">
        <v>229</v>
      </c>
      <c r="C39" t="s">
        <v>230</v>
      </c>
      <c r="D39" t="s">
        <v>231</v>
      </c>
      <c r="E39" t="s">
        <v>232</v>
      </c>
      <c r="F39" t="s">
        <v>8</v>
      </c>
      <c r="G39" t="s">
        <v>9</v>
      </c>
      <c r="H39" t="s">
        <v>10</v>
      </c>
      <c r="I39" s="48" t="s">
        <v>11</v>
      </c>
    </row>
    <row r="40" spans="1:9" x14ac:dyDescent="0.25">
      <c r="A40" t="s">
        <v>83</v>
      </c>
      <c r="B40" s="50" t="str">
        <f>'--Quarterly_PL'!C36</f>
        <v>$2.31</v>
      </c>
      <c r="C40" s="50" t="str">
        <f>'--Quarterly_PL'!D36</f>
        <v>$2.43</v>
      </c>
      <c r="D40" s="50" t="str">
        <f>'--Quarterly_PL'!E36</f>
        <v>$2.30</v>
      </c>
      <c r="E40" s="50" t="str">
        <f>'--Quarterly_PL'!F36</f>
        <v>$3.29</v>
      </c>
      <c r="F40" s="50" t="str">
        <f>'--Quarterly_PL'!G36</f>
        <v>$10.33</v>
      </c>
      <c r="G40" s="50" t="str">
        <f>'--Quarterly_PL'!H36</f>
        <v>$9.62</v>
      </c>
      <c r="H40" s="53">
        <f>Table11[[#This Row],[FY 2024]]-Table11[[#This Row],[FY 2023]]</f>
        <v>0.71000000000000085</v>
      </c>
      <c r="I40" s="47">
        <f>Table11[[#This Row],[YoY $M]]/Table11[[#This Row],[FY 2023]]</f>
        <v>7.3804573804573906E-2</v>
      </c>
    </row>
    <row r="41" spans="1:9" x14ac:dyDescent="0.25">
      <c r="I41"/>
    </row>
    <row r="42" spans="1:9" x14ac:dyDescent="0.25">
      <c r="I42"/>
    </row>
    <row r="43" spans="1:9" x14ac:dyDescent="0.25">
      <c r="A43" t="s">
        <v>243</v>
      </c>
      <c r="B43" t="s">
        <v>229</v>
      </c>
      <c r="C43" t="s">
        <v>230</v>
      </c>
      <c r="D43" t="s">
        <v>231</v>
      </c>
      <c r="E43" t="s">
        <v>232</v>
      </c>
      <c r="F43" t="s">
        <v>8</v>
      </c>
      <c r="G43" t="s">
        <v>9</v>
      </c>
      <c r="H43" t="s">
        <v>10</v>
      </c>
      <c r="I43" s="48" t="s">
        <v>11</v>
      </c>
    </row>
    <row r="44" spans="1:9" x14ac:dyDescent="0.25">
      <c r="A44" s="14" t="s">
        <v>91</v>
      </c>
      <c r="B44" s="50">
        <f>'--Quarterly_PL'!C37</f>
        <v>1900</v>
      </c>
      <c r="C44" s="50">
        <f>'--Quarterly_PL'!D37</f>
        <v>2600</v>
      </c>
      <c r="D44" s="50">
        <f>'--Quarterly_PL'!E37</f>
        <v>2090</v>
      </c>
      <c r="E44" s="50">
        <f>'--Quarterly_PL'!F37</f>
        <v>5900</v>
      </c>
      <c r="F44" s="50">
        <f>'--Quarterly_PL'!G37</f>
        <v>12490</v>
      </c>
      <c r="G44" s="50">
        <f>'--Quarterly_PL'!H37</f>
        <v>11248</v>
      </c>
      <c r="H44" s="50">
        <f>'--Quarterly_PL'!I37</f>
        <v>1242</v>
      </c>
      <c r="I44" s="47">
        <f>'--Quarterly_PL'!J37</f>
        <v>0.11041963015647226</v>
      </c>
    </row>
    <row r="45" spans="1:9" x14ac:dyDescent="0.25">
      <c r="A45" s="54"/>
      <c r="B45" s="50"/>
      <c r="C45" s="50"/>
      <c r="D45" s="50"/>
      <c r="E45" s="50"/>
      <c r="F45" s="50"/>
      <c r="G45" s="50"/>
      <c r="H45" s="50"/>
      <c r="I45" s="47"/>
    </row>
    <row r="46" spans="1:9" x14ac:dyDescent="0.25">
      <c r="A46" t="s">
        <v>246</v>
      </c>
      <c r="B46" s="50"/>
      <c r="C46" s="50"/>
      <c r="D46" s="50"/>
      <c r="E46" s="50"/>
      <c r="F46" s="50"/>
      <c r="G46" s="50"/>
      <c r="H46" s="50"/>
    </row>
    <row r="47" spans="1:9" x14ac:dyDescent="0.25">
      <c r="A47" t="s">
        <v>244</v>
      </c>
      <c r="B47" t="s">
        <v>228</v>
      </c>
      <c r="C47" t="s">
        <v>245</v>
      </c>
    </row>
    <row r="48" spans="1:9" x14ac:dyDescent="0.25">
      <c r="A48" t="s">
        <v>229</v>
      </c>
      <c r="B48" s="50">
        <f>B6</f>
        <v>14460</v>
      </c>
      <c r="C48" s="50">
        <f>B14</f>
        <v>6590</v>
      </c>
    </row>
    <row r="49" spans="1:5" x14ac:dyDescent="0.25">
      <c r="A49" t="s">
        <v>230</v>
      </c>
      <c r="B49" s="50">
        <f>C6</f>
        <v>15800</v>
      </c>
      <c r="C49" s="50">
        <f>C14</f>
        <v>6617</v>
      </c>
    </row>
    <row r="50" spans="1:5" x14ac:dyDescent="0.25">
      <c r="A50" t="s">
        <v>231</v>
      </c>
      <c r="B50" s="50">
        <f>D6</f>
        <v>14970</v>
      </c>
      <c r="C50" s="50">
        <f>D14</f>
        <v>6632</v>
      </c>
    </row>
    <row r="51" spans="1:5" x14ac:dyDescent="0.25">
      <c r="A51" t="s">
        <v>232</v>
      </c>
      <c r="B51" s="50">
        <f>E6</f>
        <v>17523</v>
      </c>
      <c r="C51" s="50">
        <f>E14</f>
        <v>7011</v>
      </c>
    </row>
    <row r="52" spans="1:5" x14ac:dyDescent="0.25">
      <c r="B52" s="50"/>
      <c r="C52" s="50"/>
    </row>
    <row r="53" spans="1:5" x14ac:dyDescent="0.25">
      <c r="A53" t="s">
        <v>248</v>
      </c>
      <c r="B53" t="s">
        <v>229</v>
      </c>
      <c r="C53" t="s">
        <v>230</v>
      </c>
      <c r="D53" t="s">
        <v>231</v>
      </c>
      <c r="E53" t="s">
        <v>232</v>
      </c>
    </row>
    <row r="54" spans="1:5" x14ac:dyDescent="0.25">
      <c r="A54" t="s">
        <v>250</v>
      </c>
      <c r="B54" s="50">
        <f>B35</f>
        <v>878</v>
      </c>
      <c r="C54" s="50">
        <f>C35</f>
        <v>2591</v>
      </c>
      <c r="D54" s="50">
        <f>D35</f>
        <v>-308</v>
      </c>
      <c r="E54" s="50">
        <f>E35</f>
        <v>2862</v>
      </c>
    </row>
    <row r="55" spans="1:5" x14ac:dyDescent="0.25">
      <c r="A55" t="s">
        <v>249</v>
      </c>
      <c r="B55" s="50">
        <f>B30</f>
        <v>1904</v>
      </c>
      <c r="C55" s="50">
        <f>C30</f>
        <v>3339</v>
      </c>
      <c r="D55" s="50">
        <f>D30</f>
        <v>-502</v>
      </c>
      <c r="E55" s="50">
        <f>E30</f>
        <v>4508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5FC5-364C-4599-B973-EB7A31ED7EC7}">
  <dimension ref="A1"/>
  <sheetViews>
    <sheetView showGridLines="0" showRowColHeaders="0" zoomScale="59" zoomScaleNormal="59" workbookViewId="0">
      <selection activeCell="AL51" sqref="AL5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K37"/>
  <sheetViews>
    <sheetView zoomScaleNormal="100" workbookViewId="0">
      <pane ySplit="3" topLeftCell="A12" activePane="bottomLeft" state="frozen"/>
      <selection pane="bottomLeft" activeCell="A38" sqref="A38"/>
    </sheetView>
  </sheetViews>
  <sheetFormatPr defaultColWidth="8.7109375" defaultRowHeight="15" x14ac:dyDescent="0.25"/>
  <cols>
    <col min="1" max="1" width="28" customWidth="1"/>
    <col min="2" max="2" width="16" customWidth="1"/>
    <col min="3" max="6" width="12" customWidth="1"/>
    <col min="7" max="8" width="13" customWidth="1"/>
    <col min="9" max="9" width="40" bestFit="1" customWidth="1"/>
    <col min="10" max="10" width="12" customWidth="1"/>
    <col min="11" max="11" width="36" customWidth="1"/>
  </cols>
  <sheetData>
    <row r="1" spans="1:11" ht="24" customHeight="1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13.5" customHeight="1" x14ac:dyDescent="0.25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ht="1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5" customHeight="1" x14ac:dyDescent="0.25">
      <c r="A4" s="2" t="s">
        <v>13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" customHeight="1" x14ac:dyDescent="0.25">
      <c r="A5" s="4" t="s">
        <v>14</v>
      </c>
      <c r="B5" s="4" t="s">
        <v>15</v>
      </c>
      <c r="C5" s="5">
        <v>5902</v>
      </c>
      <c r="D5" s="5">
        <v>6740</v>
      </c>
      <c r="E5" s="5">
        <v>6520</v>
      </c>
      <c r="F5" s="5">
        <v>7116</v>
      </c>
      <c r="G5" s="5">
        <v>26278</v>
      </c>
      <c r="H5" s="5">
        <v>24459</v>
      </c>
      <c r="I5" s="6">
        <f>G5-H5</f>
        <v>1819</v>
      </c>
      <c r="J5" s="7">
        <f>IF(H5&lt;&gt;0,(G5-H5)/ABS(H5),"NM")</f>
        <v>7.4369352794472376E-2</v>
      </c>
      <c r="K5" s="8" t="s">
        <v>16</v>
      </c>
    </row>
    <row r="6" spans="1:11" ht="15" customHeight="1" x14ac:dyDescent="0.25">
      <c r="A6" s="9" t="s">
        <v>17</v>
      </c>
      <c r="B6" s="9" t="s">
        <v>15</v>
      </c>
      <c r="C6" s="10">
        <v>5214</v>
      </c>
      <c r="D6" s="10">
        <v>5200</v>
      </c>
      <c r="E6" s="10">
        <v>5150</v>
      </c>
      <c r="F6" s="10">
        <v>5336</v>
      </c>
      <c r="G6" s="10">
        <v>20900</v>
      </c>
      <c r="H6" s="10">
        <v>21072</v>
      </c>
      <c r="I6" s="11">
        <f>G6-H6</f>
        <v>-172</v>
      </c>
      <c r="J6" s="12">
        <f>IF(H6&lt;&gt;0,(G6-H6)/ABS(H6),"NM")</f>
        <v>-8.162490508731966E-3</v>
      </c>
      <c r="K6" s="13" t="s">
        <v>18</v>
      </c>
    </row>
    <row r="7" spans="1:11" ht="15" customHeight="1" x14ac:dyDescent="0.25">
      <c r="A7" s="4" t="s">
        <v>19</v>
      </c>
      <c r="B7" s="4" t="s">
        <v>15</v>
      </c>
      <c r="C7" s="5">
        <v>2955</v>
      </c>
      <c r="D7" s="5">
        <v>3649</v>
      </c>
      <c r="E7" s="5">
        <v>3043</v>
      </c>
      <c r="F7" s="5">
        <v>4148</v>
      </c>
      <c r="G7" s="5">
        <v>13795</v>
      </c>
      <c r="H7" s="5">
        <v>14228</v>
      </c>
      <c r="I7" s="6">
        <f>G7-H7</f>
        <v>-433</v>
      </c>
      <c r="J7" s="7">
        <f>IF(H7&lt;&gt;0,(G7-H7)/ABS(H7),"NM")</f>
        <v>-3.0432949114422268E-2</v>
      </c>
      <c r="K7" s="8" t="s">
        <v>20</v>
      </c>
    </row>
    <row r="8" spans="1:11" ht="15" customHeight="1" x14ac:dyDescent="0.25">
      <c r="A8" s="9" t="s">
        <v>21</v>
      </c>
      <c r="B8" s="9" t="s">
        <v>15</v>
      </c>
      <c r="C8" s="10">
        <v>389</v>
      </c>
      <c r="D8" s="10">
        <v>211</v>
      </c>
      <c r="E8" s="10">
        <v>257</v>
      </c>
      <c r="F8" s="10">
        <v>923</v>
      </c>
      <c r="G8" s="10">
        <v>1780</v>
      </c>
      <c r="H8" s="10">
        <v>2101</v>
      </c>
      <c r="I8" s="11">
        <f>G8-H8</f>
        <v>-321</v>
      </c>
      <c r="J8" s="12">
        <f>IF(H8&lt;&gt;0,(G8-H8)/ABS(H8),"NM")</f>
        <v>-0.15278438838648262</v>
      </c>
      <c r="K8" s="13" t="s">
        <v>22</v>
      </c>
    </row>
    <row r="9" spans="1:11" ht="15" customHeight="1" x14ac:dyDescent="0.25">
      <c r="A9" s="14" t="s">
        <v>23</v>
      </c>
      <c r="B9" s="14" t="s">
        <v>15</v>
      </c>
      <c r="C9" s="15">
        <v>14460</v>
      </c>
      <c r="D9" s="15">
        <v>15800</v>
      </c>
      <c r="E9" s="15">
        <v>14970</v>
      </c>
      <c r="F9" s="15">
        <v>17523</v>
      </c>
      <c r="G9" s="15">
        <v>62753</v>
      </c>
      <c r="H9" s="15">
        <v>61860</v>
      </c>
      <c r="I9" s="16">
        <f>G9-H9</f>
        <v>893</v>
      </c>
      <c r="J9" s="17">
        <f>IF(H9&lt;&gt;0,(G9-H9)/ABS(H9),"NM")</f>
        <v>1.4435822825735531E-2</v>
      </c>
      <c r="K9" s="18" t="s">
        <v>24</v>
      </c>
    </row>
    <row r="10" spans="1:11" ht="6" customHeigh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" customHeight="1" x14ac:dyDescent="0.25">
      <c r="A11" s="2" t="s">
        <v>25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" customHeight="1" x14ac:dyDescent="0.25">
      <c r="A12" s="9" t="s">
        <v>26</v>
      </c>
      <c r="B12" s="9" t="s">
        <v>27</v>
      </c>
      <c r="C12" s="10">
        <v>1052</v>
      </c>
      <c r="D12" s="10">
        <v>1145</v>
      </c>
      <c r="E12" s="10">
        <v>1108</v>
      </c>
      <c r="F12" s="10">
        <v>1210</v>
      </c>
      <c r="G12" s="10">
        <v>4515</v>
      </c>
      <c r="H12" s="10">
        <v>4622</v>
      </c>
      <c r="I12" s="11">
        <f>G12-H12</f>
        <v>-107</v>
      </c>
      <c r="J12" s="12">
        <f>IF(H12&lt;&gt;0,(G12-H12)/ABS(H12),"NM")</f>
        <v>-2.3150151449588922E-2</v>
      </c>
      <c r="K12" s="13" t="s">
        <v>28</v>
      </c>
    </row>
    <row r="13" spans="1:11" ht="15" customHeight="1" x14ac:dyDescent="0.25">
      <c r="A13" s="4" t="s">
        <v>29</v>
      </c>
      <c r="B13" s="4" t="s">
        <v>27</v>
      </c>
      <c r="C13" s="5">
        <v>3809</v>
      </c>
      <c r="D13" s="5">
        <v>3796</v>
      </c>
      <c r="E13" s="5">
        <v>3762</v>
      </c>
      <c r="F13" s="5">
        <v>3895</v>
      </c>
      <c r="G13" s="5">
        <v>15262</v>
      </c>
      <c r="H13" s="5">
        <v>15505</v>
      </c>
      <c r="I13" s="6">
        <f>G13-H13</f>
        <v>-243</v>
      </c>
      <c r="J13" s="7">
        <f>IF(H13&lt;&gt;0,(G13-H13)/ABS(H13),"NM")</f>
        <v>-1.5672363753627863E-2</v>
      </c>
      <c r="K13" s="8" t="s">
        <v>30</v>
      </c>
    </row>
    <row r="14" spans="1:11" ht="15" customHeight="1" x14ac:dyDescent="0.25">
      <c r="A14" s="9" t="s">
        <v>31</v>
      </c>
      <c r="B14" s="9" t="s">
        <v>27</v>
      </c>
      <c r="C14" s="10">
        <v>1655</v>
      </c>
      <c r="D14" s="10">
        <v>1606</v>
      </c>
      <c r="E14" s="10">
        <v>1694</v>
      </c>
      <c r="F14" s="10">
        <v>1838</v>
      </c>
      <c r="G14" s="10">
        <v>6793</v>
      </c>
      <c r="H14" s="10">
        <v>6969</v>
      </c>
      <c r="I14" s="11">
        <f>G14-H14</f>
        <v>-176</v>
      </c>
      <c r="J14" s="12">
        <f>IF(H14&lt;&gt;0,(G14-H14)/ABS(H14),"NM")</f>
        <v>-2.5254699382981777E-2</v>
      </c>
      <c r="K14" s="13" t="s">
        <v>32</v>
      </c>
    </row>
    <row r="15" spans="1:11" ht="15" customHeight="1" x14ac:dyDescent="0.25">
      <c r="A15" s="4" t="s">
        <v>33</v>
      </c>
      <c r="B15" s="4" t="s">
        <v>27</v>
      </c>
      <c r="C15" s="5">
        <v>74</v>
      </c>
      <c r="D15" s="5">
        <v>70</v>
      </c>
      <c r="E15" s="5">
        <v>68</v>
      </c>
      <c r="F15" s="5">
        <v>68</v>
      </c>
      <c r="G15" s="5">
        <v>280</v>
      </c>
      <c r="H15" s="5">
        <v>303</v>
      </c>
      <c r="I15" s="6">
        <f>G15-H15</f>
        <v>-23</v>
      </c>
      <c r="J15" s="7">
        <f>IF(H15&lt;&gt;0,(G15-H15)/ABS(H15),"NM")</f>
        <v>-7.590759075907591E-2</v>
      </c>
      <c r="K15" s="8"/>
    </row>
    <row r="16" spans="1:11" ht="15" customHeight="1" x14ac:dyDescent="0.25">
      <c r="A16" s="14" t="s">
        <v>34</v>
      </c>
      <c r="B16" s="14" t="s">
        <v>27</v>
      </c>
      <c r="C16" s="15">
        <v>6590</v>
      </c>
      <c r="D16" s="15">
        <v>6617</v>
      </c>
      <c r="E16" s="15">
        <v>6632</v>
      </c>
      <c r="F16" s="15">
        <v>7011</v>
      </c>
      <c r="G16" s="15">
        <v>26850</v>
      </c>
      <c r="H16" s="15">
        <v>27399</v>
      </c>
      <c r="I16" s="16">
        <f>G16-H16</f>
        <v>-549</v>
      </c>
      <c r="J16" s="17">
        <f>IF(H16&lt;&gt;0,(G16-H16)/ABS(H16),"NM")</f>
        <v>-2.003722763604511E-2</v>
      </c>
      <c r="K16" s="18" t="s">
        <v>35</v>
      </c>
    </row>
    <row r="17" spans="1:11" ht="6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5" customHeight="1" x14ac:dyDescent="0.25">
      <c r="A18" s="2" t="s">
        <v>36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" customHeight="1" x14ac:dyDescent="0.25">
      <c r="A19" s="14" t="s">
        <v>37</v>
      </c>
      <c r="B19" s="14" t="s">
        <v>37</v>
      </c>
      <c r="C19" s="15">
        <v>7870</v>
      </c>
      <c r="D19" s="15">
        <v>9183</v>
      </c>
      <c r="E19" s="15">
        <v>8338</v>
      </c>
      <c r="F19" s="15">
        <v>10512</v>
      </c>
      <c r="G19" s="15">
        <v>35903</v>
      </c>
      <c r="H19" s="15">
        <v>34461</v>
      </c>
      <c r="I19" s="16">
        <f>G19-H19</f>
        <v>1442</v>
      </c>
      <c r="J19" s="17">
        <f>IF(H19&lt;&gt;0,(G19-H19)/ABS(H19),"NM")</f>
        <v>4.1844403818809668E-2</v>
      </c>
      <c r="K19" s="18" t="s">
        <v>38</v>
      </c>
    </row>
    <row r="20" spans="1:11" ht="15" customHeight="1" x14ac:dyDescent="0.25">
      <c r="A20" s="9" t="s">
        <v>39</v>
      </c>
      <c r="B20" s="9" t="s">
        <v>37</v>
      </c>
      <c r="C20" s="20" t="s">
        <v>40</v>
      </c>
      <c r="D20" s="20" t="s">
        <v>41</v>
      </c>
      <c r="E20" s="20" t="s">
        <v>42</v>
      </c>
      <c r="F20" s="52">
        <v>0.6</v>
      </c>
      <c r="G20" s="52">
        <v>0.57199999999999995</v>
      </c>
      <c r="H20" s="52">
        <v>0.55700000000000005</v>
      </c>
      <c r="I20" s="20" t="s">
        <v>44</v>
      </c>
      <c r="J20" s="21"/>
      <c r="K20" s="13" t="s">
        <v>44</v>
      </c>
    </row>
    <row r="21" spans="1:11" ht="6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5" customHeight="1" x14ac:dyDescent="0.25">
      <c r="A22" s="2" t="s">
        <v>45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" customHeight="1" x14ac:dyDescent="0.25">
      <c r="A23" s="4" t="s">
        <v>46</v>
      </c>
      <c r="B23" s="4" t="s">
        <v>47</v>
      </c>
      <c r="C23" s="5">
        <v>1673</v>
      </c>
      <c r="D23" s="5">
        <v>1682</v>
      </c>
      <c r="E23" s="5">
        <v>1700</v>
      </c>
      <c r="F23" s="5">
        <v>1752</v>
      </c>
      <c r="G23" s="5">
        <v>6807</v>
      </c>
      <c r="H23" s="5">
        <v>6639</v>
      </c>
      <c r="I23" s="6">
        <f>G23-H23</f>
        <v>168</v>
      </c>
      <c r="J23" s="7">
        <f>IF(H23&lt;&gt;0,(G23-H23)/ABS(H23),"NM")</f>
        <v>2.5305015815634886E-2</v>
      </c>
      <c r="K23" s="8" t="s">
        <v>48</v>
      </c>
    </row>
    <row r="24" spans="1:11" ht="15" customHeight="1" x14ac:dyDescent="0.25">
      <c r="A24" s="9" t="s">
        <v>49</v>
      </c>
      <c r="B24" s="9" t="s">
        <v>47</v>
      </c>
      <c r="C24" s="10">
        <v>4098</v>
      </c>
      <c r="D24" s="10">
        <v>3979</v>
      </c>
      <c r="E24" s="10">
        <v>3830</v>
      </c>
      <c r="F24" s="10">
        <v>4261</v>
      </c>
      <c r="G24" s="10">
        <v>16168</v>
      </c>
      <c r="H24" s="10">
        <v>15603</v>
      </c>
      <c r="I24" s="11">
        <f>G24-H24</f>
        <v>565</v>
      </c>
      <c r="J24" s="12">
        <f>IF(H24&lt;&gt;0,(G24-H24)/ABS(H24),"NM")</f>
        <v>3.6210985066974302E-2</v>
      </c>
      <c r="K24" s="13" t="s">
        <v>50</v>
      </c>
    </row>
    <row r="25" spans="1:11" ht="15" customHeight="1" x14ac:dyDescent="0.25">
      <c r="A25" s="4" t="s">
        <v>51</v>
      </c>
      <c r="B25" s="4" t="s">
        <v>47</v>
      </c>
      <c r="C25" s="5">
        <v>0</v>
      </c>
      <c r="D25" s="5">
        <v>0</v>
      </c>
      <c r="E25" s="5">
        <v>3100</v>
      </c>
      <c r="F25" s="5">
        <v>0</v>
      </c>
      <c r="G25" s="5">
        <v>3100</v>
      </c>
      <c r="H25" s="5">
        <v>0</v>
      </c>
      <c r="I25" s="6">
        <f>G25-H25</f>
        <v>3100</v>
      </c>
      <c r="J25" s="7" t="str">
        <f>IF(H25&lt;&gt;0,(G25-H25)/ABS(H25),"NM")</f>
        <v>NM</v>
      </c>
      <c r="K25" s="8" t="s">
        <v>52</v>
      </c>
    </row>
    <row r="26" spans="1:11" ht="15" customHeight="1" x14ac:dyDescent="0.25">
      <c r="A26" s="9" t="s">
        <v>53</v>
      </c>
      <c r="B26" s="9" t="s">
        <v>47</v>
      </c>
      <c r="C26" s="10">
        <v>195</v>
      </c>
      <c r="D26" s="10">
        <v>183</v>
      </c>
      <c r="E26" s="10">
        <v>210</v>
      </c>
      <c r="F26" s="20"/>
      <c r="G26" s="10">
        <v>2779</v>
      </c>
      <c r="H26" s="10">
        <v>3368</v>
      </c>
      <c r="I26" s="11">
        <f>G26-H26</f>
        <v>-589</v>
      </c>
      <c r="J26" s="12">
        <f>IF(H26&lt;&gt;0,(G26-H26)/ABS(H26),"NM")</f>
        <v>-0.1748812351543943</v>
      </c>
      <c r="K26" s="13" t="s">
        <v>54</v>
      </c>
    </row>
    <row r="27" spans="1:11" ht="15" customHeight="1" x14ac:dyDescent="0.25">
      <c r="A27" s="14" t="s">
        <v>55</v>
      </c>
      <c r="B27" s="14" t="s">
        <v>47</v>
      </c>
      <c r="C27" s="15">
        <v>5966</v>
      </c>
      <c r="D27" s="15">
        <v>5844</v>
      </c>
      <c r="E27" s="15">
        <v>8840</v>
      </c>
      <c r="F27" s="15">
        <v>6004</v>
      </c>
      <c r="G27" s="15">
        <v>25854</v>
      </c>
      <c r="H27" s="15">
        <v>25610</v>
      </c>
      <c r="I27" s="16">
        <f>G27-H27</f>
        <v>244</v>
      </c>
      <c r="J27" s="17">
        <f>IF(H27&lt;&gt;0,(G27-H27)/ABS(H27),"NM")</f>
        <v>9.5275283092541973E-3</v>
      </c>
      <c r="K27" s="18" t="s">
        <v>56</v>
      </c>
    </row>
    <row r="28" spans="1:11" ht="6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ht="15" customHeight="1" x14ac:dyDescent="0.25">
      <c r="A29" s="2" t="s">
        <v>57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5" customHeight="1" x14ac:dyDescent="0.25">
      <c r="A30" s="14" t="s">
        <v>58</v>
      </c>
      <c r="B30" s="14" t="s">
        <v>59</v>
      </c>
      <c r="C30" s="15">
        <v>1904</v>
      </c>
      <c r="D30" s="15">
        <v>3339</v>
      </c>
      <c r="E30" s="22">
        <v>-502</v>
      </c>
      <c r="F30" s="15">
        <v>4508</v>
      </c>
      <c r="G30" s="15">
        <v>10049</v>
      </c>
      <c r="H30" s="15">
        <v>8851</v>
      </c>
      <c r="I30" s="16">
        <f>G30-H30</f>
        <v>1198</v>
      </c>
      <c r="J30" s="17">
        <f>IF(H30&lt;&gt;0,(G30-H30)/ABS(H30),"NM")</f>
        <v>0.13535193763416564</v>
      </c>
      <c r="K30" s="18" t="s">
        <v>60</v>
      </c>
    </row>
    <row r="31" spans="1:11" ht="15" customHeight="1" x14ac:dyDescent="0.25">
      <c r="A31" s="4" t="s">
        <v>61</v>
      </c>
      <c r="B31" s="4" t="s">
        <v>59</v>
      </c>
      <c r="C31" s="23" t="s">
        <v>62</v>
      </c>
      <c r="D31" s="23" t="s">
        <v>63</v>
      </c>
      <c r="E31" s="23" t="s">
        <v>64</v>
      </c>
      <c r="F31" s="23" t="s">
        <v>65</v>
      </c>
      <c r="G31" s="23" t="s">
        <v>66</v>
      </c>
      <c r="H31" s="23" t="s">
        <v>67</v>
      </c>
      <c r="I31" s="23" t="s">
        <v>68</v>
      </c>
      <c r="J31" s="24"/>
      <c r="K31" s="8" t="s">
        <v>68</v>
      </c>
    </row>
    <row r="32" spans="1:11" ht="15" customHeight="1" x14ac:dyDescent="0.25">
      <c r="A32" s="9" t="s">
        <v>69</v>
      </c>
      <c r="B32" s="9" t="s">
        <v>59</v>
      </c>
      <c r="C32" s="10">
        <v>1078</v>
      </c>
      <c r="D32" s="10">
        <v>2931</v>
      </c>
      <c r="E32" s="25">
        <v>-908</v>
      </c>
      <c r="F32" s="10">
        <v>2696</v>
      </c>
      <c r="G32" s="10">
        <v>5797</v>
      </c>
      <c r="H32" s="10">
        <v>8690</v>
      </c>
      <c r="I32" s="11">
        <f>G32-H32</f>
        <v>-2893</v>
      </c>
      <c r="J32" s="12">
        <f>IF(H32&lt;&gt;0,(G32-H32)/ABS(H32),"NM")</f>
        <v>-0.33291139240506329</v>
      </c>
      <c r="K32" s="13" t="s">
        <v>70</v>
      </c>
    </row>
    <row r="33" spans="1:11" ht="15" customHeight="1" x14ac:dyDescent="0.25">
      <c r="A33" s="4" t="s">
        <v>71</v>
      </c>
      <c r="B33" s="4" t="s">
        <v>59</v>
      </c>
      <c r="C33" s="5">
        <v>200</v>
      </c>
      <c r="D33" s="5">
        <v>340</v>
      </c>
      <c r="E33" s="26">
        <v>-600</v>
      </c>
      <c r="F33" s="26">
        <v>-158</v>
      </c>
      <c r="G33" s="26">
        <v>-218</v>
      </c>
      <c r="H33" s="5">
        <v>1176</v>
      </c>
      <c r="I33" s="6">
        <f>G33-H33</f>
        <v>-1394</v>
      </c>
      <c r="J33" s="7">
        <f>IF(H33&lt;&gt;0,(G33-H33)/ABS(H33),"NM")</f>
        <v>-1.185374149659864</v>
      </c>
      <c r="K33" s="8" t="s">
        <v>72</v>
      </c>
    </row>
    <row r="34" spans="1:11" ht="15" customHeight="1" x14ac:dyDescent="0.25">
      <c r="A34" s="14" t="s">
        <v>73</v>
      </c>
      <c r="B34" s="14" t="s">
        <v>59</v>
      </c>
      <c r="C34" s="15">
        <v>878</v>
      </c>
      <c r="D34" s="15">
        <v>2591</v>
      </c>
      <c r="E34" s="22">
        <v>-308</v>
      </c>
      <c r="F34" s="15">
        <v>2862</v>
      </c>
      <c r="G34" s="15">
        <v>6023</v>
      </c>
      <c r="H34" s="15">
        <v>7502</v>
      </c>
      <c r="I34" s="16">
        <f>G34-H34</f>
        <v>-1479</v>
      </c>
      <c r="J34" s="17">
        <f>IF(H34&lt;&gt;0,(G34-H34)/ABS(H34),"NM")</f>
        <v>-0.19714742735270593</v>
      </c>
      <c r="K34" s="18" t="s">
        <v>74</v>
      </c>
    </row>
    <row r="35" spans="1:11" ht="15" customHeight="1" x14ac:dyDescent="0.25">
      <c r="A35" s="4" t="s">
        <v>75</v>
      </c>
      <c r="B35" s="4" t="s">
        <v>59</v>
      </c>
      <c r="C35" s="23" t="s">
        <v>76</v>
      </c>
      <c r="D35" s="23" t="s">
        <v>77</v>
      </c>
      <c r="E35" s="23" t="s">
        <v>78</v>
      </c>
      <c r="F35" s="23" t="s">
        <v>79</v>
      </c>
      <c r="G35" s="23" t="s">
        <v>80</v>
      </c>
      <c r="H35" s="23" t="s">
        <v>81</v>
      </c>
      <c r="I35" s="23" t="s">
        <v>82</v>
      </c>
      <c r="J35" s="24"/>
      <c r="K35" s="8" t="s">
        <v>82</v>
      </c>
    </row>
    <row r="36" spans="1:11" ht="15" customHeight="1" x14ac:dyDescent="0.25">
      <c r="A36" s="9" t="s">
        <v>83</v>
      </c>
      <c r="B36" s="9" t="s">
        <v>59</v>
      </c>
      <c r="C36" s="20" t="s">
        <v>84</v>
      </c>
      <c r="D36" s="20" t="s">
        <v>85</v>
      </c>
      <c r="E36" s="20" t="s">
        <v>86</v>
      </c>
      <c r="F36" s="20" t="s">
        <v>87</v>
      </c>
      <c r="G36" s="20" t="s">
        <v>88</v>
      </c>
      <c r="H36" s="20" t="s">
        <v>89</v>
      </c>
      <c r="I36" s="20" t="s">
        <v>90</v>
      </c>
      <c r="J36" s="21"/>
      <c r="K36" s="13" t="s">
        <v>90</v>
      </c>
    </row>
    <row r="37" spans="1:11" ht="15" customHeight="1" x14ac:dyDescent="0.25">
      <c r="A37" s="14" t="s">
        <v>91</v>
      </c>
      <c r="B37" s="14" t="s">
        <v>59</v>
      </c>
      <c r="C37" s="15">
        <v>1900</v>
      </c>
      <c r="D37" s="15">
        <v>2600</v>
      </c>
      <c r="E37" s="15">
        <v>2090</v>
      </c>
      <c r="F37" s="15">
        <v>5900</v>
      </c>
      <c r="G37" s="15">
        <v>12490</v>
      </c>
      <c r="H37" s="15">
        <v>11248</v>
      </c>
      <c r="I37" s="16">
        <f>G37-H37</f>
        <v>1242</v>
      </c>
      <c r="J37" s="17">
        <f>IF(H37&lt;&gt;0,(G37-H37)/ABS(H37),"NM")</f>
        <v>0.11041963015647226</v>
      </c>
      <c r="K37" s="18" t="s">
        <v>92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6CA8"/>
  </sheetPr>
  <dimension ref="A1:J14"/>
  <sheetViews>
    <sheetView zoomScaleNormal="100" workbookViewId="0">
      <pane ySplit="2" topLeftCell="A3" activePane="bottomLeft" state="frozen"/>
      <selection pane="bottomLeft" sqref="A1:J1"/>
    </sheetView>
  </sheetViews>
  <sheetFormatPr defaultColWidth="8.7109375" defaultRowHeight="15" x14ac:dyDescent="0.25"/>
  <cols>
    <col min="1" max="1" width="20" customWidth="1"/>
    <col min="2" max="2" width="26" customWidth="1"/>
    <col min="3" max="6" width="11" customWidth="1"/>
    <col min="7" max="9" width="12" customWidth="1"/>
    <col min="10" max="10" width="11" customWidth="1"/>
  </cols>
  <sheetData>
    <row r="1" spans="1:10" ht="21.75" customHeight="1" x14ac:dyDescent="0.25">
      <c r="A1" s="73" t="s">
        <v>93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18" customHeight="1" x14ac:dyDescent="0.25">
      <c r="A2" s="1" t="s">
        <v>94</v>
      </c>
      <c r="B2" s="1" t="s">
        <v>95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ht="15" customHeight="1" x14ac:dyDescent="0.25">
      <c r="A3" s="4" t="s">
        <v>96</v>
      </c>
      <c r="B3" s="4" t="s">
        <v>97</v>
      </c>
      <c r="C3" s="5">
        <v>3912</v>
      </c>
      <c r="D3" s="5">
        <v>4580</v>
      </c>
      <c r="E3" s="5">
        <v>4420</v>
      </c>
      <c r="F3" s="5">
        <v>4852</v>
      </c>
      <c r="G3" s="5">
        <v>17764</v>
      </c>
      <c r="H3" s="5">
        <v>16296</v>
      </c>
      <c r="I3" s="6">
        <f t="shared" ref="I3:I14" si="0">G3-H3</f>
        <v>1468</v>
      </c>
      <c r="J3" s="7">
        <f t="shared" ref="J3:J14" si="1">IF(H3&lt;&gt;0,(G3-H3)/ABS(H3),"NM")</f>
        <v>9.0083456062837505E-2</v>
      </c>
    </row>
    <row r="4" spans="1:10" ht="15" customHeight="1" x14ac:dyDescent="0.25">
      <c r="A4" s="9" t="s">
        <v>96</v>
      </c>
      <c r="B4" s="9" t="s">
        <v>98</v>
      </c>
      <c r="C4" s="10">
        <v>1990</v>
      </c>
      <c r="D4" s="10">
        <v>2160</v>
      </c>
      <c r="E4" s="10">
        <v>2100</v>
      </c>
      <c r="F4" s="10">
        <v>2264</v>
      </c>
      <c r="G4" s="10">
        <v>8514</v>
      </c>
      <c r="H4" s="10">
        <v>8163</v>
      </c>
      <c r="I4" s="11">
        <f t="shared" si="0"/>
        <v>351</v>
      </c>
      <c r="J4" s="12">
        <f t="shared" si="1"/>
        <v>4.2998897464167588E-2</v>
      </c>
    </row>
    <row r="5" spans="1:10" ht="15" customHeight="1" x14ac:dyDescent="0.25">
      <c r="A5" s="14" t="s">
        <v>96</v>
      </c>
      <c r="B5" s="14" t="s">
        <v>99</v>
      </c>
      <c r="C5" s="15">
        <v>5902</v>
      </c>
      <c r="D5" s="15">
        <v>6740</v>
      </c>
      <c r="E5" s="15">
        <v>6520</v>
      </c>
      <c r="F5" s="15">
        <v>7116</v>
      </c>
      <c r="G5" s="15">
        <v>26278</v>
      </c>
      <c r="H5" s="15">
        <v>24459</v>
      </c>
      <c r="I5" s="16">
        <f t="shared" si="0"/>
        <v>1819</v>
      </c>
      <c r="J5" s="17">
        <f t="shared" si="1"/>
        <v>7.4369352794472376E-2</v>
      </c>
    </row>
    <row r="6" spans="1:10" ht="15" customHeight="1" x14ac:dyDescent="0.25">
      <c r="A6" s="9" t="s">
        <v>100</v>
      </c>
      <c r="B6" s="9" t="s">
        <v>101</v>
      </c>
      <c r="C6" s="10">
        <v>2010</v>
      </c>
      <c r="D6" s="10">
        <v>2024</v>
      </c>
      <c r="E6" s="10">
        <v>1987</v>
      </c>
      <c r="F6" s="10">
        <v>2050</v>
      </c>
      <c r="G6" s="10">
        <v>8071</v>
      </c>
      <c r="H6" s="10">
        <v>8100</v>
      </c>
      <c r="I6" s="11">
        <f t="shared" si="0"/>
        <v>-29</v>
      </c>
      <c r="J6" s="12">
        <f t="shared" si="1"/>
        <v>-3.5802469135802471E-3</v>
      </c>
    </row>
    <row r="7" spans="1:10" ht="15" customHeight="1" x14ac:dyDescent="0.25">
      <c r="A7" s="4" t="s">
        <v>100</v>
      </c>
      <c r="B7" s="4" t="s">
        <v>102</v>
      </c>
      <c r="C7" s="5">
        <v>1700</v>
      </c>
      <c r="D7" s="5">
        <v>1716</v>
      </c>
      <c r="E7" s="5">
        <v>1683</v>
      </c>
      <c r="F7" s="5">
        <v>1754</v>
      </c>
      <c r="G7" s="5">
        <v>6853</v>
      </c>
      <c r="H7" s="5">
        <v>7025</v>
      </c>
      <c r="I7" s="6">
        <f t="shared" si="0"/>
        <v>-172</v>
      </c>
      <c r="J7" s="7">
        <f t="shared" si="1"/>
        <v>-2.4483985765124554E-2</v>
      </c>
    </row>
    <row r="8" spans="1:10" ht="15" customHeight="1" x14ac:dyDescent="0.25">
      <c r="A8" s="9" t="s">
        <v>100</v>
      </c>
      <c r="B8" s="9" t="s">
        <v>103</v>
      </c>
      <c r="C8" s="10">
        <v>1504</v>
      </c>
      <c r="D8" s="10">
        <v>1460</v>
      </c>
      <c r="E8" s="10">
        <v>1480</v>
      </c>
      <c r="F8" s="10">
        <v>1532</v>
      </c>
      <c r="G8" s="10">
        <v>5976</v>
      </c>
      <c r="H8" s="10">
        <v>5947</v>
      </c>
      <c r="I8" s="11">
        <f t="shared" si="0"/>
        <v>29</v>
      </c>
      <c r="J8" s="12">
        <f t="shared" si="1"/>
        <v>4.876408273078863E-3</v>
      </c>
    </row>
    <row r="9" spans="1:10" ht="15" customHeight="1" x14ac:dyDescent="0.25">
      <c r="A9" s="14" t="s">
        <v>100</v>
      </c>
      <c r="B9" s="14" t="s">
        <v>104</v>
      </c>
      <c r="C9" s="15">
        <v>5214</v>
      </c>
      <c r="D9" s="15">
        <v>5200</v>
      </c>
      <c r="E9" s="15">
        <v>5150</v>
      </c>
      <c r="F9" s="15">
        <v>5336</v>
      </c>
      <c r="G9" s="15">
        <v>20900</v>
      </c>
      <c r="H9" s="15">
        <v>21072</v>
      </c>
      <c r="I9" s="16">
        <f t="shared" si="0"/>
        <v>-172</v>
      </c>
      <c r="J9" s="17">
        <f t="shared" si="1"/>
        <v>-8.162490508731966E-3</v>
      </c>
    </row>
    <row r="10" spans="1:10" ht="15" customHeight="1" x14ac:dyDescent="0.25">
      <c r="A10" s="9" t="s">
        <v>105</v>
      </c>
      <c r="B10" s="9" t="s">
        <v>106</v>
      </c>
      <c r="C10" s="10">
        <v>1920</v>
      </c>
      <c r="D10" s="10">
        <v>2388</v>
      </c>
      <c r="E10" s="10">
        <v>1980</v>
      </c>
      <c r="F10" s="10">
        <v>2760</v>
      </c>
      <c r="G10" s="10">
        <v>9048</v>
      </c>
      <c r="H10" s="10">
        <v>9635</v>
      </c>
      <c r="I10" s="11">
        <f t="shared" si="0"/>
        <v>-587</v>
      </c>
      <c r="J10" s="12">
        <f t="shared" si="1"/>
        <v>-6.0923715620134926E-2</v>
      </c>
    </row>
    <row r="11" spans="1:10" ht="15" customHeight="1" x14ac:dyDescent="0.25">
      <c r="A11" s="4" t="s">
        <v>105</v>
      </c>
      <c r="B11" s="4" t="s">
        <v>107</v>
      </c>
      <c r="C11" s="5">
        <v>1035</v>
      </c>
      <c r="D11" s="5">
        <v>1261</v>
      </c>
      <c r="E11" s="5">
        <v>1063</v>
      </c>
      <c r="F11" s="5">
        <v>1388</v>
      </c>
      <c r="G11" s="5">
        <v>4747</v>
      </c>
      <c r="H11" s="5">
        <v>4593</v>
      </c>
      <c r="I11" s="6">
        <f t="shared" si="0"/>
        <v>154</v>
      </c>
      <c r="J11" s="7">
        <f t="shared" si="1"/>
        <v>3.3529283692575657E-2</v>
      </c>
    </row>
    <row r="12" spans="1:10" ht="15" customHeight="1" x14ac:dyDescent="0.25">
      <c r="A12" s="14" t="s">
        <v>105</v>
      </c>
      <c r="B12" s="14" t="s">
        <v>108</v>
      </c>
      <c r="C12" s="15">
        <v>2955</v>
      </c>
      <c r="D12" s="15">
        <v>3649</v>
      </c>
      <c r="E12" s="15">
        <v>3043</v>
      </c>
      <c r="F12" s="15">
        <v>4148</v>
      </c>
      <c r="G12" s="15">
        <v>13795</v>
      </c>
      <c r="H12" s="15">
        <v>14228</v>
      </c>
      <c r="I12" s="16">
        <f t="shared" si="0"/>
        <v>-433</v>
      </c>
      <c r="J12" s="17">
        <f t="shared" si="1"/>
        <v>-3.0432949114422268E-2</v>
      </c>
    </row>
    <row r="13" spans="1:10" ht="15" customHeight="1" x14ac:dyDescent="0.25">
      <c r="A13" s="4" t="s">
        <v>109</v>
      </c>
      <c r="B13" s="4" t="s">
        <v>110</v>
      </c>
      <c r="C13" s="5">
        <v>389</v>
      </c>
      <c r="D13" s="5">
        <v>211</v>
      </c>
      <c r="E13" s="5">
        <v>257</v>
      </c>
      <c r="F13" s="5">
        <v>923</v>
      </c>
      <c r="G13" s="5">
        <v>1780</v>
      </c>
      <c r="H13" s="5">
        <v>2101</v>
      </c>
      <c r="I13" s="6">
        <f t="shared" si="0"/>
        <v>-321</v>
      </c>
      <c r="J13" s="7">
        <f t="shared" si="1"/>
        <v>-0.15278438838648262</v>
      </c>
    </row>
    <row r="14" spans="1:10" ht="15" customHeight="1" x14ac:dyDescent="0.25">
      <c r="A14" s="14" t="s">
        <v>111</v>
      </c>
      <c r="B14" s="14" t="s">
        <v>112</v>
      </c>
      <c r="C14" s="15">
        <v>14460</v>
      </c>
      <c r="D14" s="15">
        <v>15800</v>
      </c>
      <c r="E14" s="15">
        <v>14970</v>
      </c>
      <c r="F14" s="15">
        <v>17523</v>
      </c>
      <c r="G14" s="15">
        <v>62753</v>
      </c>
      <c r="H14" s="15">
        <v>61860</v>
      </c>
      <c r="I14" s="16">
        <f t="shared" si="0"/>
        <v>893</v>
      </c>
      <c r="J14" s="17">
        <f t="shared" si="1"/>
        <v>1.4435822825735531E-2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A1:E26"/>
  <sheetViews>
    <sheetView zoomScaleNormal="100" workbookViewId="0">
      <pane ySplit="2" topLeftCell="A3" activePane="bottomLeft" state="frozen"/>
      <selection pane="bottomLeft" activeCell="E2" sqref="E1:E1048576"/>
    </sheetView>
  </sheetViews>
  <sheetFormatPr defaultColWidth="8.7109375" defaultRowHeight="15" x14ac:dyDescent="0.25"/>
  <cols>
    <col min="1" max="1" width="36" customWidth="1"/>
    <col min="2" max="2" width="16" customWidth="1"/>
    <col min="3" max="3" width="22" customWidth="1"/>
    <col min="4" max="4" width="14" customWidth="1"/>
    <col min="5" max="5" width="75.28515625" bestFit="1" customWidth="1"/>
  </cols>
  <sheetData>
    <row r="1" spans="1:5" ht="24" customHeight="1" x14ac:dyDescent="0.25">
      <c r="A1" s="71" t="s">
        <v>113</v>
      </c>
      <c r="B1" s="71"/>
      <c r="C1" s="71"/>
      <c r="D1" s="71"/>
      <c r="E1" s="71"/>
    </row>
    <row r="2" spans="1:5" ht="18" customHeight="1" x14ac:dyDescent="0.25">
      <c r="A2" s="1" t="s">
        <v>114</v>
      </c>
      <c r="B2" s="1" t="s">
        <v>115</v>
      </c>
      <c r="C2" s="1" t="s">
        <v>116</v>
      </c>
      <c r="D2" s="1" t="s">
        <v>117</v>
      </c>
      <c r="E2" s="1" t="s">
        <v>118</v>
      </c>
    </row>
    <row r="3" spans="1:5" ht="15.75" customHeight="1" x14ac:dyDescent="0.25">
      <c r="A3" s="4" t="s">
        <v>119</v>
      </c>
      <c r="B3" s="27" t="s">
        <v>120</v>
      </c>
      <c r="C3" s="4" t="s">
        <v>121</v>
      </c>
      <c r="D3" s="28" t="s">
        <v>122</v>
      </c>
      <c r="E3" s="29" t="s">
        <v>123</v>
      </c>
    </row>
    <row r="4" spans="1:5" ht="15.75" customHeight="1" x14ac:dyDescent="0.25">
      <c r="A4" s="9" t="s">
        <v>37</v>
      </c>
      <c r="B4" s="30" t="s">
        <v>124</v>
      </c>
      <c r="C4" s="9" t="s">
        <v>125</v>
      </c>
      <c r="D4" s="31" t="s">
        <v>122</v>
      </c>
      <c r="E4" s="32" t="s">
        <v>126</v>
      </c>
    </row>
    <row r="5" spans="1:5" ht="15.75" customHeight="1" x14ac:dyDescent="0.25">
      <c r="A5" s="4" t="s">
        <v>127</v>
      </c>
      <c r="B5" s="27" t="s">
        <v>43</v>
      </c>
      <c r="C5" s="4" t="s">
        <v>128</v>
      </c>
      <c r="D5" s="28" t="s">
        <v>122</v>
      </c>
      <c r="E5" s="29" t="s">
        <v>129</v>
      </c>
    </row>
    <row r="6" spans="1:5" ht="15.75" customHeight="1" x14ac:dyDescent="0.25">
      <c r="A6" s="9" t="s">
        <v>14</v>
      </c>
      <c r="B6" s="30" t="s">
        <v>130</v>
      </c>
      <c r="C6" s="9" t="s">
        <v>131</v>
      </c>
      <c r="D6" s="31" t="s">
        <v>122</v>
      </c>
      <c r="E6" s="32" t="s">
        <v>132</v>
      </c>
    </row>
    <row r="7" spans="1:5" ht="15.75" customHeight="1" x14ac:dyDescent="0.25">
      <c r="A7" s="4" t="s">
        <v>17</v>
      </c>
      <c r="B7" s="33" t="s">
        <v>133</v>
      </c>
      <c r="C7" s="4" t="s">
        <v>134</v>
      </c>
      <c r="D7" s="34" t="s">
        <v>135</v>
      </c>
      <c r="E7" s="29" t="s">
        <v>136</v>
      </c>
    </row>
    <row r="8" spans="1:5" ht="15.75" customHeight="1" x14ac:dyDescent="0.25">
      <c r="A8" s="9" t="s">
        <v>19</v>
      </c>
      <c r="B8" s="35" t="s">
        <v>137</v>
      </c>
      <c r="C8" s="9" t="s">
        <v>138</v>
      </c>
      <c r="D8" s="36" t="s">
        <v>135</v>
      </c>
      <c r="E8" s="32" t="s">
        <v>139</v>
      </c>
    </row>
    <row r="9" spans="1:5" ht="15.75" customHeight="1" x14ac:dyDescent="0.25">
      <c r="A9" s="4" t="s">
        <v>140</v>
      </c>
      <c r="B9" s="27" t="s">
        <v>141</v>
      </c>
      <c r="C9" s="4" t="s">
        <v>142</v>
      </c>
      <c r="D9" s="28" t="s">
        <v>122</v>
      </c>
      <c r="E9" s="29" t="s">
        <v>143</v>
      </c>
    </row>
    <row r="10" spans="1:5" ht="15.75" customHeight="1" x14ac:dyDescent="0.25">
      <c r="A10" s="9" t="s">
        <v>144</v>
      </c>
      <c r="B10" s="37" t="s">
        <v>145</v>
      </c>
      <c r="C10" s="9" t="s">
        <v>146</v>
      </c>
      <c r="D10" s="38" t="s">
        <v>147</v>
      </c>
      <c r="E10" s="32" t="s">
        <v>148</v>
      </c>
    </row>
    <row r="11" spans="1:5" ht="15.75" customHeight="1" x14ac:dyDescent="0.25">
      <c r="A11" s="4" t="s">
        <v>149</v>
      </c>
      <c r="B11" s="39" t="s">
        <v>150</v>
      </c>
      <c r="C11" s="4" t="s">
        <v>151</v>
      </c>
      <c r="D11" s="40" t="s">
        <v>147</v>
      </c>
      <c r="E11" s="29" t="s">
        <v>152</v>
      </c>
    </row>
    <row r="12" spans="1:5" ht="15.75" customHeight="1" x14ac:dyDescent="0.25">
      <c r="A12" s="9" t="s">
        <v>153</v>
      </c>
      <c r="B12" s="30" t="s">
        <v>154</v>
      </c>
      <c r="C12" s="9" t="s">
        <v>155</v>
      </c>
      <c r="D12" s="31" t="s">
        <v>122</v>
      </c>
      <c r="E12" s="32" t="s">
        <v>156</v>
      </c>
    </row>
    <row r="13" spans="1:5" ht="15.75" customHeight="1" x14ac:dyDescent="0.25">
      <c r="A13" s="4" t="s">
        <v>46</v>
      </c>
      <c r="B13" s="39" t="s">
        <v>157</v>
      </c>
      <c r="C13" s="4" t="s">
        <v>158</v>
      </c>
      <c r="D13" s="40" t="s">
        <v>147</v>
      </c>
      <c r="E13" s="29" t="s">
        <v>159</v>
      </c>
    </row>
    <row r="14" spans="1:5" ht="15.75" customHeight="1" x14ac:dyDescent="0.25">
      <c r="A14" s="9" t="s">
        <v>58</v>
      </c>
      <c r="B14" s="30" t="s">
        <v>160</v>
      </c>
      <c r="C14" s="9" t="s">
        <v>161</v>
      </c>
      <c r="D14" s="31" t="s">
        <v>122</v>
      </c>
      <c r="E14" s="32" t="s">
        <v>162</v>
      </c>
    </row>
    <row r="15" spans="1:5" ht="15.75" customHeight="1" x14ac:dyDescent="0.25">
      <c r="A15" s="4" t="s">
        <v>163</v>
      </c>
      <c r="B15" s="27" t="s">
        <v>66</v>
      </c>
      <c r="C15" s="4" t="s">
        <v>164</v>
      </c>
      <c r="D15" s="28" t="s">
        <v>122</v>
      </c>
      <c r="E15" s="29" t="s">
        <v>165</v>
      </c>
    </row>
    <row r="16" spans="1:5" ht="15.75" customHeight="1" x14ac:dyDescent="0.25">
      <c r="A16" s="9" t="s">
        <v>166</v>
      </c>
      <c r="B16" s="35" t="s">
        <v>167</v>
      </c>
      <c r="C16" s="9" t="s">
        <v>168</v>
      </c>
      <c r="D16" s="36" t="s">
        <v>135</v>
      </c>
      <c r="E16" s="32" t="s">
        <v>169</v>
      </c>
    </row>
    <row r="17" spans="1:5" ht="15.75" customHeight="1" x14ac:dyDescent="0.25">
      <c r="A17" s="4" t="s">
        <v>170</v>
      </c>
      <c r="B17" s="33" t="s">
        <v>80</v>
      </c>
      <c r="C17" s="4" t="s">
        <v>171</v>
      </c>
      <c r="D17" s="34" t="s">
        <v>135</v>
      </c>
      <c r="E17" s="29" t="s">
        <v>172</v>
      </c>
    </row>
    <row r="18" spans="1:5" ht="15.75" customHeight="1" x14ac:dyDescent="0.25">
      <c r="A18" s="9" t="s">
        <v>83</v>
      </c>
      <c r="B18" s="30" t="s">
        <v>88</v>
      </c>
      <c r="C18" s="9" t="s">
        <v>173</v>
      </c>
      <c r="D18" s="31" t="s">
        <v>122</v>
      </c>
      <c r="E18" s="32" t="s">
        <v>174</v>
      </c>
    </row>
    <row r="19" spans="1:5" ht="15.75" customHeight="1" x14ac:dyDescent="0.25">
      <c r="A19" s="4" t="s">
        <v>175</v>
      </c>
      <c r="B19" s="33" t="s">
        <v>176</v>
      </c>
      <c r="C19" s="4" t="s">
        <v>177</v>
      </c>
      <c r="D19" s="34" t="s">
        <v>135</v>
      </c>
      <c r="E19" s="29" t="s">
        <v>178</v>
      </c>
    </row>
    <row r="20" spans="1:5" ht="15.75" customHeight="1" x14ac:dyDescent="0.25">
      <c r="A20" s="9" t="s">
        <v>91</v>
      </c>
      <c r="B20" s="30" t="s">
        <v>179</v>
      </c>
      <c r="C20" s="9" t="s">
        <v>180</v>
      </c>
      <c r="D20" s="31" t="s">
        <v>122</v>
      </c>
      <c r="E20" s="32" t="s">
        <v>181</v>
      </c>
    </row>
    <row r="21" spans="1:5" ht="15.75" customHeight="1" x14ac:dyDescent="0.25">
      <c r="A21" s="4" t="s">
        <v>182</v>
      </c>
      <c r="B21" s="39" t="s">
        <v>183</v>
      </c>
      <c r="C21" s="4" t="s">
        <v>121</v>
      </c>
      <c r="D21" s="40" t="s">
        <v>147</v>
      </c>
      <c r="E21" s="29" t="s">
        <v>184</v>
      </c>
    </row>
    <row r="22" spans="1:5" ht="15.75" customHeight="1" x14ac:dyDescent="0.25">
      <c r="A22" s="9" t="s">
        <v>185</v>
      </c>
      <c r="B22" s="30" t="s">
        <v>186</v>
      </c>
      <c r="C22" s="9" t="s">
        <v>187</v>
      </c>
      <c r="D22" s="31" t="s">
        <v>122</v>
      </c>
      <c r="E22" s="32" t="s">
        <v>188</v>
      </c>
    </row>
    <row r="23" spans="1:5" ht="15.75" customHeight="1" x14ac:dyDescent="0.25">
      <c r="A23" s="4" t="s">
        <v>189</v>
      </c>
      <c r="B23" s="27" t="s">
        <v>190</v>
      </c>
      <c r="C23" s="4" t="s">
        <v>191</v>
      </c>
      <c r="D23" s="28" t="s">
        <v>122</v>
      </c>
      <c r="E23" s="29" t="s">
        <v>192</v>
      </c>
    </row>
    <row r="24" spans="1:5" ht="15.75" customHeight="1" x14ac:dyDescent="0.25">
      <c r="A24" s="9" t="s">
        <v>193</v>
      </c>
      <c r="B24" s="30" t="s">
        <v>194</v>
      </c>
      <c r="C24" s="9" t="s">
        <v>195</v>
      </c>
      <c r="D24" s="31" t="s">
        <v>122</v>
      </c>
      <c r="E24" s="32" t="s">
        <v>196</v>
      </c>
    </row>
    <row r="25" spans="1:5" ht="15.75" customHeight="1" x14ac:dyDescent="0.25">
      <c r="A25" s="4" t="s">
        <v>51</v>
      </c>
      <c r="B25" s="39" t="s">
        <v>197</v>
      </c>
      <c r="C25" s="4" t="s">
        <v>198</v>
      </c>
      <c r="D25" s="40" t="s">
        <v>147</v>
      </c>
      <c r="E25" s="29" t="s">
        <v>199</v>
      </c>
    </row>
    <row r="26" spans="1:5" ht="15.75" customHeight="1" x14ac:dyDescent="0.25">
      <c r="A26" s="9" t="s">
        <v>200</v>
      </c>
      <c r="B26" s="37" t="s">
        <v>201</v>
      </c>
      <c r="C26" s="9" t="s">
        <v>202</v>
      </c>
      <c r="D26" s="38" t="s">
        <v>147</v>
      </c>
      <c r="E26" s="32" t="s">
        <v>203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A1:B16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78" customWidth="1"/>
  </cols>
  <sheetData>
    <row r="1" spans="1:2" ht="18" x14ac:dyDescent="0.25">
      <c r="A1" s="41" t="s">
        <v>204</v>
      </c>
    </row>
    <row r="2" spans="1:2" x14ac:dyDescent="0.25">
      <c r="A2" s="42" t="s">
        <v>205</v>
      </c>
    </row>
    <row r="3" spans="1:2" x14ac:dyDescent="0.25">
      <c r="A3" s="43"/>
      <c r="B3" s="44"/>
    </row>
    <row r="4" spans="1:2" x14ac:dyDescent="0.25">
      <c r="A4" s="45" t="s">
        <v>206</v>
      </c>
      <c r="B4" s="44" t="s">
        <v>207</v>
      </c>
    </row>
    <row r="5" spans="1:2" x14ac:dyDescent="0.25">
      <c r="A5" s="45" t="s">
        <v>208</v>
      </c>
      <c r="B5" s="44" t="s">
        <v>209</v>
      </c>
    </row>
    <row r="6" spans="1:2" x14ac:dyDescent="0.25">
      <c r="A6" s="45" t="s">
        <v>210</v>
      </c>
      <c r="B6" s="44" t="s">
        <v>211</v>
      </c>
    </row>
    <row r="7" spans="1:2" x14ac:dyDescent="0.25">
      <c r="A7" s="43"/>
      <c r="B7" s="44"/>
    </row>
    <row r="8" spans="1:2" x14ac:dyDescent="0.25">
      <c r="A8" s="45" t="s">
        <v>212</v>
      </c>
      <c r="B8" s="44"/>
    </row>
    <row r="9" spans="1:2" x14ac:dyDescent="0.25">
      <c r="A9" s="43" t="s">
        <v>213</v>
      </c>
      <c r="B9" s="44" t="s">
        <v>214</v>
      </c>
    </row>
    <row r="10" spans="1:2" x14ac:dyDescent="0.25">
      <c r="A10" s="43" t="s">
        <v>215</v>
      </c>
      <c r="B10" s="44" t="s">
        <v>216</v>
      </c>
    </row>
    <row r="11" spans="1:2" x14ac:dyDescent="0.25">
      <c r="A11" s="43" t="s">
        <v>217</v>
      </c>
      <c r="B11" s="44" t="s">
        <v>218</v>
      </c>
    </row>
    <row r="12" spans="1:2" x14ac:dyDescent="0.25">
      <c r="A12" s="43"/>
      <c r="B12" s="44"/>
    </row>
    <row r="13" spans="1:2" x14ac:dyDescent="0.25">
      <c r="A13" s="45" t="s">
        <v>219</v>
      </c>
      <c r="B13" s="44" t="s">
        <v>220</v>
      </c>
    </row>
    <row r="14" spans="1:2" x14ac:dyDescent="0.25">
      <c r="A14" s="45" t="s">
        <v>221</v>
      </c>
      <c r="B14" s="44" t="s">
        <v>222</v>
      </c>
    </row>
    <row r="15" spans="1:2" x14ac:dyDescent="0.25">
      <c r="A15" s="45" t="s">
        <v>223</v>
      </c>
      <c r="B15" s="44" t="s">
        <v>224</v>
      </c>
    </row>
    <row r="16" spans="1:2" x14ac:dyDescent="0.25">
      <c r="A16" s="45" t="s">
        <v>225</v>
      </c>
      <c r="B16" s="44" t="s">
        <v>226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</vt:lpstr>
      <vt:lpstr>DASHBOARD</vt:lpstr>
      <vt:lpstr>--Quarterly_PL</vt:lpstr>
      <vt:lpstr>Segment_Revenue</vt:lpstr>
      <vt:lpstr>KPI_Summary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JANE RAYMOND</cp:lastModifiedBy>
  <cp:revision>0</cp:revision>
  <dcterms:created xsi:type="dcterms:W3CDTF">2026-03-19T08:46:51Z</dcterms:created>
  <dcterms:modified xsi:type="dcterms:W3CDTF">2026-06-12T22:35:57Z</dcterms:modified>
  <dc:language>en-US</dc:language>
</cp:coreProperties>
</file>